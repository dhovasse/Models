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81F05C13-4150-4A98-84C1-BCA08344F536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7" i="3"/>
  <c r="F21" i="3"/>
  <c r="B21" i="3"/>
  <c r="D8" i="3"/>
  <c r="D7" i="3"/>
  <c r="D4" i="3"/>
  <c r="B4" i="3"/>
  <c r="B85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72" i="2" l="1"/>
  <c r="B75" i="2" s="1"/>
  <c r="B53" i="2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<sst xmlns="http://schemas.openxmlformats.org/spreadsheetml/2006/main" count="215" uniqueCount="195">
  <si>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</si>
  <si>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</si>
  <si>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</si>
  <si>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</si>
  <si>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</si>
  <si>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</si>
  <si>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</si>
  <si>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</si>
  <si>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</si>
  <si>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</si>
  <si>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</si>
  <si>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</si>
  <si>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</si>
  <si>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</si>
  <si>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</si>
  <si>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</si>
  <si>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</si>
  <si>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</si>
  <si>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</si>
  <si>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</si>
  <si>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</si>
  <si>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</si>
  <si>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</si>
  <si>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</si>
  <si>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</si>
  <si>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</si>
  <si>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</si>
  <si>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</si>
  <si>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</si>
  <si>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</si>
  <si>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</si>
  <si>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</si>
  <si>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</si>
  <si>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</si>
  <si>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</si>
  <si>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</si>
  <si>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</si>
  <si>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</si>
  <si>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</si>
  <si>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</si>
  <si>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</si>
  <si>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</si>
  <si>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</si>
  <si>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</si>
  <si>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</si>
  <si>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</si>
  <si>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</si>
  <si>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</si>
  <si>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</si>
  <si>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</si>
  <si>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</si>
  <si>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</si>
  <si>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</si>
  <si>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</si>
  <si>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</si>
  <si>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</si>
  <si>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</si>
  <si>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</si>
  <si>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</si>
  <si>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</si>
  <si>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</si>
  <si>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</si>
  <si>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</si>
  <si>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</si>
  <si>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</si>
  <si>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</si>
  <si>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</si>
  <si>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</si>
  <si>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</si>
  <si>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</si>
  <si>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</si>
  <si>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</si>
  <si>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</si>
  <si>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</si>
  <si>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</si>
  <si>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</si>
  <si>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</si>
  <si>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</si>
  <si>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</si>
  <si>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</si>
  <si>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</si>
  <si>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</si>
  <si>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</si>
  <si>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</si>
  <si>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</si>
  <si>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</si>
  <si>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</si>
  <si>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</si>
  <si>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</si>
  <si>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</si>
  <si>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</si>
  <si>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</si>
  <si>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</si>
  <si>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</si>
  <si>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</si>
  <si>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</si>
  <si>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</si>
  <si>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</si>
  <si>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</si>
  <si>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</si>
  <si>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</si>
  <si>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</si>
  <si>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</si>
  <si>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</si>
  <si>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</si>
  <si>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</si>
  <si>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</si>
  <si>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</si>
  <si>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</si>
  <si>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</si>
  <si>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</si>
  <si>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</si>
  <si>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</si>
  <si>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</si>
  <si>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</si>
  <si>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</si>
  <si>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</si>
  <si>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</si>
  <si>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</si>
  <si>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</si>
  <si>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</si>
  <si>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</si>
  <si>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</si>
  <si>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</si>
  <si>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</si>
  <si>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</si>
  <si>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</si>
  <si>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</si>
  <si>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</si>
  <si>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</si>
  <si>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</si>
  <si>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</si>
  <si>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</si>
  <si>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</si>
  <si>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</si>
  <si>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</si>
  <si>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</si>
  <si>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</si>
  <si>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</si>
  <si>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</si>
  <si>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</si>
  <si>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</si>
  <si>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</si>
  <si>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</si>
  <si>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</si>
  <si>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</si>
  <si>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</si>
  <si>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</si>
  <si>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</si>
  <si>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</si>
  <si>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</si>
  <si>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</si>
  <si>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</si>
  <si>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</si>
  <si>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</si>
  <si>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</si>
  <si>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</si>
  <si>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</si>
  <si>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</si>
  <si>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</si>
  <si>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</si>
  <si>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</si>
  <si>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</si>
  <si>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</si>
  <si>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</si>
  <si>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</si>
  <si>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</si>
  <si>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</si>
  <si>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</si>
  <si>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</si>
  <si>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</si>
  <si>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</si>
  <si>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</si>
  <si>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</si>
  <si>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</si>
  <si>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</si>
  <si>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</si>
  <si>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</si>
  <si>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</si>
  <si>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</si>
  <si>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</si>
  <si>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</si>
  <si>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$55M × P(Ph1b→Ph2) × P(Ph2→Ph3)</t>
  </si>
  <si>
    <t>$40M × P(Ph1b→Ph2) × P(Ph2→Ph3)</t>
  </si>
  <si>
    <t>NOLs and R&amp;D credits cover taxes for primary forecasting period</t>
  </si>
  <si>
    <t>Placement Agent Warrants</t>
  </si>
  <si>
    <t>Legacy / Other Warrants</t>
  </si>
  <si>
    <t>Oct 2025 Pre-Funded Warrants (fully exercised)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</si>
  <si>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</si>
  <si>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</si>
  <si>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</si>
  <si>
    <t xml:space="preserve">Sold along with ~140M shares for $0.70 in the Oct 2025 $138M offering; </t>
  </si>
  <si>
    <t>first &amp; only therapy; strong first-mover; blending symptomatic/Active penetration (22%) with Post-op maintenance penetration (10%)</t>
  </si>
  <si>
    <t>Zero fibrosis signals, FSCD discontinued, and UC becomes a commercial flop (immediate cash value is still $0.85)</t>
  </si>
  <si>
    <t>Assumption: ~$60M raise at ~$6.00/share Phase 3 funding event (2028)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</si>
</sst>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187</v>
      </c>
      <c r="B8" s="9">
        <v>57270786</v>
      </c>
      <c r="C8" s="10">
        <v>1E-4</v>
      </c>
      <c r="D8" s="6" t="s">
        <v>191</v>
      </c>
    </row>
    <row r="9" spans="1:4" ht="15" customHeight="1" x14ac:dyDescent="0.35">
      <c r="A9" s="5" t="s">
        <v>9</v>
      </c>
      <c r="B9" s="9">
        <v>8637810</v>
      </c>
      <c r="C9" s="10">
        <v>0.90469999999999995</v>
      </c>
      <c r="D9" s="6" t="s">
        <v>10</v>
      </c>
    </row>
    <row r="10" spans="1:4" ht="15" customHeight="1" x14ac:dyDescent="0.35">
      <c r="A10" s="5" t="s">
        <v>185</v>
      </c>
      <c r="B10" s="9">
        <v>6850356</v>
      </c>
      <c r="C10" s="10">
        <v>1.155</v>
      </c>
      <c r="D10" s="6" t="s">
        <v>188</v>
      </c>
    </row>
    <row r="11" spans="1:4" ht="15" customHeight="1" x14ac:dyDescent="0.35">
      <c r="A11" s="5" t="s">
        <v>186</v>
      </c>
      <c r="B11" s="9">
        <v>0</v>
      </c>
      <c r="C11" s="10">
        <v>0</v>
      </c>
      <c r="D11" s="6" t="s">
        <v>11</v>
      </c>
    </row>
    <row r="12" spans="1:4" ht="15" customHeight="1" x14ac:dyDescent="0.35">
      <c r="A12" s="11" t="s">
        <v>12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13</v>
      </c>
      <c r="B14" s="8"/>
      <c r="C14" s="8"/>
      <c r="D14" s="8"/>
    </row>
    <row r="15" spans="1:4" ht="15" customHeight="1" x14ac:dyDescent="0.35">
      <c r="A15" s="5" t="s">
        <v>14</v>
      </c>
      <c r="B15" s="9">
        <v>2500000</v>
      </c>
      <c r="C15" s="10">
        <v>1.5</v>
      </c>
      <c r="D15" s="6" t="s">
        <v>15</v>
      </c>
    </row>
    <row r="16" spans="1:4" ht="15" customHeight="1" x14ac:dyDescent="0.35">
      <c r="A16" s="5" t="s">
        <v>16</v>
      </c>
      <c r="B16" s="9">
        <v>1500000</v>
      </c>
      <c r="C16" s="10">
        <v>1.2</v>
      </c>
      <c r="D16" s="6" t="s">
        <v>17</v>
      </c>
    </row>
    <row r="17" spans="1:4" ht="15" customHeight="1" x14ac:dyDescent="0.35">
      <c r="A17" s="5" t="s">
        <v>18</v>
      </c>
      <c r="B17" s="9">
        <v>500000</v>
      </c>
      <c r="C17" s="10">
        <v>0</v>
      </c>
      <c r="D17" s="6" t="s">
        <v>19</v>
      </c>
    </row>
    <row r="18" spans="1:4" ht="15" customHeight="1" x14ac:dyDescent="0.35">
      <c r="A18" s="11" t="s">
        <v>20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21</v>
      </c>
      <c r="B20" s="8"/>
      <c r="C20" s="8"/>
      <c r="D20" s="8"/>
    </row>
    <row r="21" spans="1:4" ht="15" customHeight="1" x14ac:dyDescent="0.35">
      <c r="A21" s="14" t="s">
        <v>22</v>
      </c>
      <c r="B21" s="4">
        <v>10000000</v>
      </c>
      <c r="C21" s="10">
        <v>6</v>
      </c>
      <c r="D21" s="15" t="s">
        <v>194</v>
      </c>
    </row>
    <row r="22" spans="1:4" ht="15" customHeight="1" x14ac:dyDescent="0.35">
      <c r="A22" s="11" t="s">
        <v>23</v>
      </c>
      <c r="B22" s="12">
        <f>B21</f>
        <v>10000000</v>
      </c>
      <c r="C22" s="13"/>
      <c r="D22" s="13"/>
    </row>
    <row r="24" spans="1:4" ht="15" customHeight="1" x14ac:dyDescent="0.35">
      <c r="A24" s="16" t="s">
        <v>24</v>
      </c>
      <c r="B24" s="17">
        <f>B5+B12+B18+B22</f>
        <v>236262162</v>
      </c>
      <c r="C24" s="18"/>
      <c r="D24" s="19" t="s">
        <v>25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opLeftCell="A72" zoomScaleNormal="100" workbookViewId="0">
      <selection activeCell="B21" sqref="B21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26</v>
      </c>
      <c r="B1" s="93"/>
      <c r="C1" s="93"/>
    </row>
    <row r="2" spans="1:3" ht="15" customHeight="1" x14ac:dyDescent="0.35">
      <c r="A2" s="94" t="s">
        <v>27</v>
      </c>
      <c r="B2" s="94"/>
      <c r="C2" s="94"/>
    </row>
    <row r="4" spans="1:3" ht="15" customHeight="1" x14ac:dyDescent="0.35">
      <c r="A4" s="7" t="s">
        <v>28</v>
      </c>
      <c r="B4" s="8"/>
      <c r="C4" s="8"/>
    </row>
    <row r="5" spans="1:3" ht="15" customHeight="1" x14ac:dyDescent="0.35">
      <c r="A5" s="5" t="s">
        <v>29</v>
      </c>
      <c r="B5" s="20">
        <v>0.13</v>
      </c>
      <c r="C5" s="21" t="s">
        <v>176</v>
      </c>
    </row>
    <row r="6" spans="1:3" ht="15" customHeight="1" x14ac:dyDescent="0.35">
      <c r="A6" s="5" t="s">
        <v>30</v>
      </c>
      <c r="B6" s="20">
        <v>0</v>
      </c>
      <c r="C6" s="21" t="s">
        <v>184</v>
      </c>
    </row>
    <row r="7" spans="1:3" ht="15" customHeight="1" x14ac:dyDescent="0.35">
      <c r="A7" s="5" t="s">
        <v>31</v>
      </c>
      <c r="B7" s="91">
        <v>2041</v>
      </c>
      <c r="C7" s="21" t="s">
        <v>32</v>
      </c>
    </row>
    <row r="8" spans="1:3" ht="15" customHeight="1" x14ac:dyDescent="0.35">
      <c r="A8" s="5" t="s">
        <v>33</v>
      </c>
      <c r="B8" s="91">
        <v>2031</v>
      </c>
      <c r="C8" s="21" t="s">
        <v>34</v>
      </c>
    </row>
    <row r="9" spans="1:3" ht="15" customHeight="1" x14ac:dyDescent="0.35">
      <c r="A9" s="5" t="s">
        <v>35</v>
      </c>
      <c r="B9" s="91">
        <v>2032</v>
      </c>
      <c r="C9" s="21" t="s">
        <v>36</v>
      </c>
    </row>
    <row r="10" spans="1:3" ht="15" customHeight="1" x14ac:dyDescent="0.35">
      <c r="A10" s="5" t="s">
        <v>37</v>
      </c>
      <c r="B10" s="91">
        <v>2026</v>
      </c>
      <c r="C10" s="21" t="s">
        <v>38</v>
      </c>
    </row>
    <row r="12" spans="1:3" ht="15" customHeight="1" x14ac:dyDescent="0.35">
      <c r="A12" s="7" t="s">
        <v>39</v>
      </c>
      <c r="B12" s="8"/>
      <c r="C12" s="8"/>
    </row>
    <row r="13" spans="1:3" ht="15" customHeight="1" x14ac:dyDescent="0.35">
      <c r="A13" s="5" t="s">
        <v>40</v>
      </c>
      <c r="B13" s="22">
        <v>10000</v>
      </c>
      <c r="C13" s="21" t="s">
        <v>41</v>
      </c>
    </row>
    <row r="14" spans="1:3" ht="15" customHeight="1" x14ac:dyDescent="0.35">
      <c r="A14" s="5" t="s">
        <v>42</v>
      </c>
      <c r="B14" s="20">
        <v>0.06</v>
      </c>
      <c r="C14" s="21" t="s">
        <v>179</v>
      </c>
    </row>
    <row r="15" spans="1:3" ht="15" customHeight="1" x14ac:dyDescent="0.35">
      <c r="A15" s="5" t="s">
        <v>43</v>
      </c>
      <c r="B15" s="23">
        <f>B13*B14</f>
        <v>600</v>
      </c>
      <c r="C15" s="21" t="s">
        <v>44</v>
      </c>
    </row>
    <row r="16" spans="1:3" ht="15" customHeight="1" x14ac:dyDescent="0.35">
      <c r="A16" s="5" t="s">
        <v>45</v>
      </c>
      <c r="B16" s="20">
        <v>0.35</v>
      </c>
      <c r="C16" s="21" t="s">
        <v>46</v>
      </c>
    </row>
    <row r="17" spans="1:3" ht="15" customHeight="1" x14ac:dyDescent="0.35">
      <c r="A17" s="5" t="s">
        <v>47</v>
      </c>
      <c r="B17" s="23">
        <f>B15*B16</f>
        <v>210</v>
      </c>
      <c r="C17" s="21" t="s">
        <v>48</v>
      </c>
    </row>
    <row r="18" spans="1:3" ht="15" customHeight="1" x14ac:dyDescent="0.35">
      <c r="A18" s="5" t="s">
        <v>49</v>
      </c>
      <c r="B18" s="24">
        <v>0.6</v>
      </c>
      <c r="C18" s="21" t="s">
        <v>50</v>
      </c>
    </row>
    <row r="20" spans="1:3" ht="15" customHeight="1" x14ac:dyDescent="0.35">
      <c r="A20" s="7" t="s">
        <v>51</v>
      </c>
      <c r="B20" s="8"/>
      <c r="C20" s="8"/>
    </row>
    <row r="21" spans="1:3" ht="15" customHeight="1" x14ac:dyDescent="0.35">
      <c r="A21" s="5" t="s">
        <v>52</v>
      </c>
      <c r="B21" s="20">
        <v>0.9</v>
      </c>
      <c r="C21" s="21" t="s">
        <v>53</v>
      </c>
    </row>
    <row r="22" spans="1:3" ht="15" customHeight="1" x14ac:dyDescent="0.35">
      <c r="A22" s="5" t="s">
        <v>54</v>
      </c>
      <c r="B22" s="20">
        <v>0.5</v>
      </c>
      <c r="C22" s="21" t="s">
        <v>55</v>
      </c>
    </row>
    <row r="23" spans="1:3" ht="15" customHeight="1" x14ac:dyDescent="0.35">
      <c r="A23" s="5" t="s">
        <v>56</v>
      </c>
      <c r="B23" s="20">
        <v>0.7</v>
      </c>
      <c r="C23" s="21" t="s">
        <v>57</v>
      </c>
    </row>
    <row r="24" spans="1:3" ht="15" customHeight="1" x14ac:dyDescent="0.35">
      <c r="A24" s="5" t="s">
        <v>58</v>
      </c>
      <c r="B24" s="20">
        <v>0.9</v>
      </c>
      <c r="C24" s="21" t="s">
        <v>59</v>
      </c>
    </row>
    <row r="25" spans="1:3" ht="15" customHeight="1" x14ac:dyDescent="0.35">
      <c r="A25" s="5" t="s">
        <v>60</v>
      </c>
      <c r="B25" s="25">
        <f>B21*B22*B23*B24</f>
        <v>0.28350000000000003</v>
      </c>
      <c r="C25" s="21" t="s">
        <v>61</v>
      </c>
    </row>
    <row r="27" spans="1:3" ht="15" customHeight="1" x14ac:dyDescent="0.35">
      <c r="A27" s="7" t="s">
        <v>62</v>
      </c>
      <c r="B27" s="8"/>
      <c r="C27" s="8"/>
    </row>
    <row r="28" spans="1:3" ht="15" customHeight="1" x14ac:dyDescent="0.35">
      <c r="A28" s="5" t="s">
        <v>63</v>
      </c>
      <c r="B28" s="4">
        <v>320000</v>
      </c>
      <c r="C28" s="21" t="s">
        <v>189</v>
      </c>
    </row>
    <row r="29" spans="1:3" ht="15" customHeight="1" x14ac:dyDescent="0.35">
      <c r="A29" s="5" t="s">
        <v>64</v>
      </c>
      <c r="B29" s="22">
        <v>40000</v>
      </c>
      <c r="C29" s="21" t="s">
        <v>65</v>
      </c>
    </row>
    <row r="30" spans="1:3" ht="15" customHeight="1" x14ac:dyDescent="0.35">
      <c r="A30" s="5" t="s">
        <v>66</v>
      </c>
      <c r="B30" s="20">
        <v>0.16</v>
      </c>
      <c r="C30" s="21" t="s">
        <v>192</v>
      </c>
    </row>
    <row r="31" spans="1:3" ht="15" customHeight="1" x14ac:dyDescent="0.35">
      <c r="A31" s="5" t="s">
        <v>67</v>
      </c>
      <c r="B31" s="23">
        <f>B28*B29*B30/1000000</f>
        <v>2048</v>
      </c>
      <c r="C31" s="21" t="s">
        <v>68</v>
      </c>
    </row>
    <row r="32" spans="1:3" ht="15" customHeight="1" x14ac:dyDescent="0.35">
      <c r="A32" s="5" t="s">
        <v>69</v>
      </c>
      <c r="B32" s="26">
        <v>0.5</v>
      </c>
      <c r="C32" s="21" t="s">
        <v>70</v>
      </c>
    </row>
    <row r="33" spans="1:3" ht="15" customHeight="1" x14ac:dyDescent="0.35">
      <c r="A33" s="5" t="s">
        <v>71</v>
      </c>
      <c r="B33" s="23">
        <f>B31*(1+B32)</f>
        <v>3072</v>
      </c>
      <c r="C33" s="21" t="s">
        <v>72</v>
      </c>
    </row>
    <row r="34" spans="1:3" ht="15" customHeight="1" x14ac:dyDescent="0.35">
      <c r="A34" s="5" t="s">
        <v>73</v>
      </c>
      <c r="B34" s="20">
        <v>0.35</v>
      </c>
      <c r="C34" s="21" t="s">
        <v>74</v>
      </c>
    </row>
    <row r="35" spans="1:3" ht="15" customHeight="1" x14ac:dyDescent="0.35">
      <c r="A35" s="5" t="s">
        <v>47</v>
      </c>
      <c r="B35" s="23">
        <f>B33*B34</f>
        <v>1075.1999999999998</v>
      </c>
      <c r="C35" s="21" t="s">
        <v>75</v>
      </c>
    </row>
    <row r="36" spans="1:3" ht="15" customHeight="1" x14ac:dyDescent="0.35">
      <c r="A36" s="5" t="s">
        <v>49</v>
      </c>
      <c r="B36" s="24">
        <v>0.65</v>
      </c>
      <c r="C36" s="21" t="s">
        <v>76</v>
      </c>
    </row>
    <row r="38" spans="1:3" ht="15" customHeight="1" x14ac:dyDescent="0.35">
      <c r="A38" s="7" t="s">
        <v>77</v>
      </c>
      <c r="B38" s="8"/>
      <c r="C38" s="8"/>
    </row>
    <row r="39" spans="1:3" ht="15" customHeight="1" x14ac:dyDescent="0.35">
      <c r="A39" s="5" t="s">
        <v>52</v>
      </c>
      <c r="B39" s="20">
        <v>0.8</v>
      </c>
      <c r="C39" s="21" t="s">
        <v>78</v>
      </c>
    </row>
    <row r="40" spans="1:3" ht="15" customHeight="1" x14ac:dyDescent="0.35">
      <c r="A40" s="5" t="s">
        <v>54</v>
      </c>
      <c r="B40" s="20">
        <v>0.4</v>
      </c>
      <c r="C40" s="21" t="s">
        <v>79</v>
      </c>
    </row>
    <row r="41" spans="1:3" ht="15" customHeight="1" x14ac:dyDescent="0.35">
      <c r="A41" s="5" t="s">
        <v>56</v>
      </c>
      <c r="B41" s="20">
        <v>0.65</v>
      </c>
      <c r="C41" s="21" t="s">
        <v>80</v>
      </c>
    </row>
    <row r="42" spans="1:3" ht="15" customHeight="1" x14ac:dyDescent="0.35">
      <c r="A42" s="5" t="s">
        <v>58</v>
      </c>
      <c r="B42" s="20">
        <v>0.85</v>
      </c>
      <c r="C42" s="21" t="s">
        <v>81</v>
      </c>
    </row>
    <row r="43" spans="1:3" ht="15" customHeight="1" x14ac:dyDescent="0.35">
      <c r="A43" s="5" t="s">
        <v>60</v>
      </c>
      <c r="B43" s="25">
        <f>B39*B40*B41*B42</f>
        <v>0.17680000000000004</v>
      </c>
      <c r="C43" s="21" t="s">
        <v>61</v>
      </c>
    </row>
    <row r="45" spans="1:3" ht="15" customHeight="1" x14ac:dyDescent="0.35">
      <c r="A45" s="7" t="s">
        <v>82</v>
      </c>
      <c r="B45" s="27"/>
      <c r="C45" s="27"/>
    </row>
    <row r="46" spans="1:3" ht="15" customHeight="1" x14ac:dyDescent="0.35">
      <c r="A46" s="28" t="s">
        <v>83</v>
      </c>
      <c r="B46" s="29"/>
      <c r="C46" s="30"/>
    </row>
    <row r="47" spans="1:3" ht="15" customHeight="1" x14ac:dyDescent="0.35">
      <c r="A47" s="5" t="s">
        <v>84</v>
      </c>
      <c r="B47" s="31">
        <f>B7-B8</f>
        <v>10</v>
      </c>
      <c r="C47" s="1" t="s">
        <v>85</v>
      </c>
    </row>
    <row r="48" spans="1:3" ht="15" customHeight="1" x14ac:dyDescent="0.35">
      <c r="A48" s="5" t="s">
        <v>86</v>
      </c>
      <c r="B48" s="23">
        <f>B15</f>
        <v>600</v>
      </c>
      <c r="C48" s="1" t="s">
        <v>87</v>
      </c>
    </row>
    <row r="49" spans="1:3" ht="15" customHeight="1" x14ac:dyDescent="0.35">
      <c r="A49" s="5" t="s">
        <v>88</v>
      </c>
      <c r="B49" s="23">
        <f>B17</f>
        <v>210</v>
      </c>
      <c r="C49" s="1" t="s">
        <v>89</v>
      </c>
    </row>
    <row r="50" spans="1:3" ht="15" customHeight="1" x14ac:dyDescent="0.35">
      <c r="A50" s="5" t="s">
        <v>90</v>
      </c>
      <c r="B50" s="23">
        <f>B17*B18</f>
        <v>126</v>
      </c>
      <c r="C50" s="1" t="s">
        <v>91</v>
      </c>
    </row>
    <row r="51" spans="1:3" ht="15" customHeight="1" x14ac:dyDescent="0.35">
      <c r="A51" s="5" t="s">
        <v>92</v>
      </c>
      <c r="B51" s="23">
        <f>B50*((1-(1+B5)^(-B47))/B5)</f>
        <v>683.70667797006286</v>
      </c>
      <c r="C51" s="1" t="s">
        <v>93</v>
      </c>
    </row>
    <row r="52" spans="1:3" ht="15" customHeight="1" x14ac:dyDescent="0.35">
      <c r="A52" s="5" t="s">
        <v>94</v>
      </c>
      <c r="B52" s="23">
        <f>B51/(1+B5)^(B8-B10)</f>
        <v>371.08859277742692</v>
      </c>
      <c r="C52" s="1" t="s">
        <v>95</v>
      </c>
    </row>
    <row r="53" spans="1:3" ht="15" customHeight="1" x14ac:dyDescent="0.35">
      <c r="A53" s="5" t="s">
        <v>96</v>
      </c>
      <c r="B53" s="32">
        <f>B25</f>
        <v>0.28350000000000003</v>
      </c>
      <c r="C53" s="30"/>
    </row>
    <row r="54" spans="1:3" ht="15" customHeight="1" x14ac:dyDescent="0.35">
      <c r="A54" s="33" t="s">
        <v>97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98</v>
      </c>
      <c r="B56" s="35"/>
      <c r="C56" s="30"/>
    </row>
    <row r="57" spans="1:3" ht="15" customHeight="1" x14ac:dyDescent="0.35">
      <c r="A57" s="5" t="s">
        <v>84</v>
      </c>
      <c r="B57" s="31">
        <f>B7-B9</f>
        <v>9</v>
      </c>
      <c r="C57" s="1" t="s">
        <v>99</v>
      </c>
    </row>
    <row r="58" spans="1:3" ht="15" customHeight="1" x14ac:dyDescent="0.35">
      <c r="A58" s="5" t="s">
        <v>86</v>
      </c>
      <c r="B58" s="23">
        <f>B33</f>
        <v>3072</v>
      </c>
      <c r="C58" s="1" t="s">
        <v>100</v>
      </c>
    </row>
    <row r="59" spans="1:3" ht="15" customHeight="1" x14ac:dyDescent="0.35">
      <c r="A59" s="5" t="s">
        <v>88</v>
      </c>
      <c r="B59" s="23">
        <f>B35</f>
        <v>1075.1999999999998</v>
      </c>
      <c r="C59" s="1" t="s">
        <v>89</v>
      </c>
    </row>
    <row r="60" spans="1:3" ht="15" customHeight="1" x14ac:dyDescent="0.35">
      <c r="A60" s="5" t="s">
        <v>90</v>
      </c>
      <c r="B60" s="23">
        <f>B35*B36</f>
        <v>698.87999999999988</v>
      </c>
      <c r="C60" s="1" t="s">
        <v>101</v>
      </c>
    </row>
    <row r="61" spans="1:3" ht="15" customHeight="1" x14ac:dyDescent="0.35">
      <c r="A61" s="5" t="s">
        <v>92</v>
      </c>
      <c r="B61" s="23">
        <f>B60*((1-(1+B5)^(-B57))/B5)</f>
        <v>3586.4111357355619</v>
      </c>
      <c r="C61" s="1" t="s">
        <v>102</v>
      </c>
    </row>
    <row r="62" spans="1:3" ht="15" customHeight="1" x14ac:dyDescent="0.35">
      <c r="A62" s="5" t="s">
        <v>94</v>
      </c>
      <c r="B62" s="23">
        <f>B61/(1+B5)^(B9-B10)</f>
        <v>1722.6197154863219</v>
      </c>
      <c r="C62" s="1" t="s">
        <v>103</v>
      </c>
    </row>
    <row r="63" spans="1:3" ht="15" customHeight="1" x14ac:dyDescent="0.35">
      <c r="A63" s="5" t="s">
        <v>96</v>
      </c>
      <c r="B63" s="32">
        <f>B43</f>
        <v>0.17680000000000004</v>
      </c>
      <c r="C63" s="30"/>
    </row>
    <row r="64" spans="1:3" ht="15" customHeight="1" x14ac:dyDescent="0.35">
      <c r="A64" s="33" t="s">
        <v>104</v>
      </c>
      <c r="B64" s="34">
        <f>B62*B63</f>
        <v>304.55916569798177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105</v>
      </c>
      <c r="B66" s="35"/>
      <c r="C66" s="30"/>
    </row>
    <row r="67" spans="1:3" ht="15" customHeight="1" x14ac:dyDescent="0.35">
      <c r="A67" s="5" t="s">
        <v>106</v>
      </c>
      <c r="B67" s="22">
        <v>-25</v>
      </c>
      <c r="C67" s="87" t="s">
        <v>177</v>
      </c>
    </row>
    <row r="68" spans="1:3" ht="15" customHeight="1" x14ac:dyDescent="0.35">
      <c r="A68" s="5" t="s">
        <v>107</v>
      </c>
      <c r="B68" s="36">
        <f>-55*B21*B22</f>
        <v>-24.75</v>
      </c>
      <c r="C68" s="1" t="s">
        <v>182</v>
      </c>
    </row>
    <row r="69" spans="1:3" ht="15" customHeight="1" x14ac:dyDescent="0.35">
      <c r="A69" s="5" t="s">
        <v>108</v>
      </c>
      <c r="B69" s="22">
        <v>-12</v>
      </c>
      <c r="C69" s="1" t="s">
        <v>109</v>
      </c>
    </row>
    <row r="70" spans="1:3" ht="15" customHeight="1" x14ac:dyDescent="0.35">
      <c r="A70" s="5" t="s">
        <v>110</v>
      </c>
      <c r="B70" s="36">
        <f>-40*B39*B40</f>
        <v>-12.8</v>
      </c>
      <c r="C70" s="1" t="s">
        <v>183</v>
      </c>
    </row>
    <row r="71" spans="1:3" ht="15" customHeight="1" x14ac:dyDescent="0.35">
      <c r="A71" s="5" t="s">
        <v>111</v>
      </c>
      <c r="B71" s="22">
        <v>-42</v>
      </c>
      <c r="C71" s="87" t="s">
        <v>178</v>
      </c>
    </row>
    <row r="72" spans="1:3" ht="15" customHeight="1" x14ac:dyDescent="0.35">
      <c r="A72" s="5" t="s">
        <v>112</v>
      </c>
      <c r="B72" s="36">
        <f>(B67+B68+B69+B70+B71)/(1+B5)^2.5</f>
        <v>-85.86499898982558</v>
      </c>
      <c r="C72" s="1" t="s">
        <v>113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114</v>
      </c>
      <c r="B74" s="37">
        <f>B54+B64</f>
        <v>409.76278175038232</v>
      </c>
      <c r="C74" s="30"/>
    </row>
    <row r="75" spans="1:3" ht="15" customHeight="1" x14ac:dyDescent="0.35">
      <c r="A75" s="11" t="s">
        <v>115</v>
      </c>
      <c r="B75" s="37">
        <f>B72</f>
        <v>-85.86499898982558</v>
      </c>
      <c r="C75" s="30"/>
    </row>
    <row r="76" spans="1:3" ht="17.25" customHeight="1" x14ac:dyDescent="0.35">
      <c r="A76" s="11" t="s">
        <v>116</v>
      </c>
      <c r="B76" s="37">
        <f>B74+B75</f>
        <v>323.89778276055677</v>
      </c>
      <c r="C76" s="1" t="s">
        <v>117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118</v>
      </c>
      <c r="B78" s="38"/>
      <c r="C78" s="30"/>
    </row>
    <row r="79" spans="1:3" ht="15" customHeight="1" x14ac:dyDescent="0.35">
      <c r="A79" s="83" t="s">
        <v>171</v>
      </c>
      <c r="B79" s="36">
        <f>MAX(0,B76)*0.25</f>
        <v>80.974445690139191</v>
      </c>
      <c r="C79" s="1" t="s">
        <v>119</v>
      </c>
    </row>
    <row r="80" spans="1:3" ht="17.25" customHeight="1" x14ac:dyDescent="0.35">
      <c r="A80" s="5" t="s">
        <v>120</v>
      </c>
      <c r="B80" s="22">
        <v>50</v>
      </c>
      <c r="C80" s="87" t="s">
        <v>173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121</v>
      </c>
      <c r="B82" s="38"/>
      <c r="C82" s="30"/>
    </row>
    <row r="83" spans="1:3" ht="15" customHeight="1" x14ac:dyDescent="0.35">
      <c r="A83" s="5" t="s">
        <v>122</v>
      </c>
      <c r="B83" s="22">
        <v>205.7</v>
      </c>
      <c r="C83" s="1" t="s">
        <v>190</v>
      </c>
    </row>
    <row r="84" spans="1:3" ht="15" customHeight="1" x14ac:dyDescent="0.35">
      <c r="A84" s="5" t="s">
        <v>123</v>
      </c>
      <c r="B84" s="22">
        <v>-5</v>
      </c>
      <c r="C84" s="30"/>
    </row>
    <row r="85" spans="1:3" ht="15" customHeight="1" x14ac:dyDescent="0.35">
      <c r="A85" s="33" t="s">
        <v>124</v>
      </c>
      <c r="B85" s="39">
        <f>B83+B84</f>
        <v>200.7</v>
      </c>
      <c r="C85" s="40" t="s">
        <v>125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126</v>
      </c>
      <c r="B87" s="41">
        <f>B76+B79+B80+B85</f>
        <v>655.572228450696</v>
      </c>
      <c r="C87" s="42" t="s">
        <v>127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128</v>
      </c>
      <c r="B89" s="43"/>
      <c r="C89" s="27"/>
    </row>
    <row r="90" spans="1:3" ht="15" customHeight="1" x14ac:dyDescent="0.35">
      <c r="A90" s="5" t="s">
        <v>129</v>
      </c>
      <c r="B90" s="44">
        <f>'Diluted Shares'!B24</f>
        <v>236262162</v>
      </c>
      <c r="C90" s="30"/>
    </row>
    <row r="91" spans="1:3" ht="15" customHeight="1" x14ac:dyDescent="0.4">
      <c r="A91" s="45" t="s">
        <v>130</v>
      </c>
      <c r="B91" s="46">
        <f>B87*1000000/B90</f>
        <v>2.7747660602999815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131</v>
      </c>
      <c r="B93" s="47">
        <v>1.74</v>
      </c>
      <c r="C93" s="30"/>
    </row>
    <row r="94" spans="1:3" ht="15" customHeight="1" x14ac:dyDescent="0.35">
      <c r="A94" s="5" t="s">
        <v>132</v>
      </c>
      <c r="B94" s="25">
        <f>(B91-B93)/B93</f>
        <v>0.59469313810343771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133</v>
      </c>
      <c r="B96" s="10">
        <v>12</v>
      </c>
      <c r="C96" s="1" t="s">
        <v>134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135</v>
      </c>
      <c r="B98" s="48"/>
      <c r="C98" s="48"/>
    </row>
    <row r="99" spans="1:3" ht="15" customHeight="1" x14ac:dyDescent="0.35">
      <c r="A99" s="5" t="s">
        <v>136</v>
      </c>
      <c r="B99" s="49">
        <f>B85*1000000/B90</f>
        <v>0.8494800788287038</v>
      </c>
      <c r="C99" s="1" t="s">
        <v>137</v>
      </c>
    </row>
    <row r="100" spans="1:3" ht="15" customHeight="1" x14ac:dyDescent="0.35">
      <c r="A100" s="5" t="s">
        <v>138</v>
      </c>
      <c r="B100" s="49">
        <f>B76*1000000/B90</f>
        <v>1.3709253314991536</v>
      </c>
      <c r="C100" s="1" t="s">
        <v>139</v>
      </c>
    </row>
    <row r="101" spans="1:3" ht="15" customHeight="1" x14ac:dyDescent="0.35">
      <c r="A101" s="5" t="s">
        <v>140</v>
      </c>
      <c r="B101" s="49">
        <f>(B79+B80)*1000000/B90</f>
        <v>0.55436064997212375</v>
      </c>
      <c r="C101" s="1" t="s">
        <v>141</v>
      </c>
    </row>
    <row r="102" spans="1:3" ht="15" customHeight="1" x14ac:dyDescent="0.35">
      <c r="A102" s="50" t="s">
        <v>142</v>
      </c>
      <c r="B102" s="51">
        <f>B91</f>
        <v>2.7747660602999815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zoomScaleNormal="100" workbookViewId="0">
      <selection activeCell="H21" sqref="H21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143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144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145</v>
      </c>
      <c r="B4" s="77">
        <f>'rNPV Model'!B5</f>
        <v>0.13</v>
      </c>
      <c r="C4" s="80" t="s">
        <v>146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147</v>
      </c>
      <c r="B5" s="77">
        <f>'rNPV Model'!B25</f>
        <v>0.28350000000000003</v>
      </c>
      <c r="C5" s="59" t="s">
        <v>148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129</v>
      </c>
      <c r="B6" s="84">
        <f>'rNPV Model'!B90</f>
        <v>236262162</v>
      </c>
      <c r="C6" s="59" t="s">
        <v>149</v>
      </c>
      <c r="D6" s="85">
        <f>'rNPV Model'!B85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150</v>
      </c>
      <c r="B7" s="85">
        <f>'rNPV Model'!B80</f>
        <v>50</v>
      </c>
      <c r="C7" s="79" t="s">
        <v>170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172</v>
      </c>
      <c r="B8" s="61">
        <f>'rNPV Model'!B91</f>
        <v>2.7747660602999815</v>
      </c>
      <c r="C8" s="59" t="s">
        <v>151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152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153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2.7415196266485968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2.9616915635072525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3.181863500365909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3.4020354372245647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3.6222073740832208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2.5633108693686455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2.7652840340069265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2.9672571986452083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3.1692303632834893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3.3712035279217707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2.403696569944318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2.5892313151221491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2.7747660602999815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2.960300805477813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3.1458355506556446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2.2605699938383217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2.4312336902103868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2.6018973865824502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2.7725610829545144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2.9432247793265782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154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155</v>
      </c>
      <c r="B19" s="72" t="s">
        <v>156</v>
      </c>
      <c r="C19" s="72" t="s">
        <v>147</v>
      </c>
      <c r="D19" s="89" t="s">
        <v>148</v>
      </c>
      <c r="E19" s="89" t="s">
        <v>175</v>
      </c>
      <c r="F19" s="72" t="s">
        <v>145</v>
      </c>
      <c r="G19" s="72" t="s">
        <v>157</v>
      </c>
      <c r="H19" s="72" t="s">
        <v>158</v>
      </c>
      <c r="I19" s="53"/>
      <c r="J19" s="53"/>
      <c r="K19" s="53"/>
    </row>
    <row r="20" spans="1:11" x14ac:dyDescent="0.35">
      <c r="A20" s="56" t="s">
        <v>159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0.65615450400947595</v>
      </c>
      <c r="H20" s="1" t="s">
        <v>193</v>
      </c>
      <c r="I20" s="53"/>
      <c r="J20" s="53"/>
      <c r="K20" s="53"/>
    </row>
    <row r="21" spans="1:11" x14ac:dyDescent="0.35">
      <c r="A21" s="56" t="s">
        <v>160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2.7747660602999815</v>
      </c>
      <c r="H21" s="1"/>
      <c r="I21" s="53"/>
      <c r="J21" s="53"/>
      <c r="K21" s="53"/>
    </row>
    <row r="22" spans="1:11" x14ac:dyDescent="0.35">
      <c r="A22" s="56" t="s">
        <v>161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3.3550775886694248</v>
      </c>
      <c r="H22" s="1" t="s">
        <v>180</v>
      </c>
      <c r="I22" s="53"/>
      <c r="J22" s="53"/>
      <c r="K22" s="53"/>
    </row>
    <row r="23" spans="1:11" x14ac:dyDescent="0.35">
      <c r="A23" s="56" t="s">
        <v>162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4.9618429636502954</v>
      </c>
      <c r="H23" s="1" t="s">
        <v>181</v>
      </c>
      <c r="I23" s="53"/>
      <c r="J23" s="53"/>
      <c r="K23" s="53"/>
    </row>
    <row r="24" spans="1:11" x14ac:dyDescent="0.35">
      <c r="A24" s="56" t="s">
        <v>163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6.6386016975041242</v>
      </c>
      <c r="H24" s="1" t="s">
        <v>164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165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166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167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168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174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169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2026-02-13T08:11:05Z</dcterms:modified>
  <dc:language>en-US</dc:language>
</cp:coreProperties>
</file>