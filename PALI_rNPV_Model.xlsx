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41F0E790-93B1-448F-949A-2575B1C6768A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1" i="3" l="1"/>
  <c r="E21" i="3"/>
  <c r="D21" i="3"/>
  <c r="B21" i="3"/>
  <c r="D8" i="3"/>
  <c r="D7" i="3"/>
  <c r="B7" i="3"/>
  <c r="D6" i="3"/>
  <c r="D5" i="3"/>
  <c r="B5" i="3"/>
  <c r="D4" i="3"/>
  <c r="B4" i="3"/>
  <c r="B86" i="2"/>
  <c r="B70" i="2"/>
  <c r="B68" i="2"/>
  <c r="B72" i="2" s="1"/>
  <c r="B75" i="2" s="1"/>
  <c r="B63" i="2"/>
  <c r="B57" i="2"/>
  <c r="B49" i="2"/>
  <c r="B48" i="2"/>
  <c r="B47" i="2"/>
  <c r="B43" i="2"/>
  <c r="B31" i="2"/>
  <c r="B33" i="2" s="1"/>
  <c r="B25" i="2"/>
  <c r="C21" i="3" s="1"/>
  <c r="B17" i="2"/>
  <c r="B50" i="2" s="1"/>
  <c r="B51" i="2" s="1"/>
  <c r="B52" i="2" s="1"/>
  <c r="B15" i="2"/>
  <c r="B22" i="1"/>
  <c r="B18" i="1"/>
  <c r="B12" i="1"/>
  <c r="B24" i="1" s="1"/>
  <c r="B91" i="2" s="1"/>
  <c r="B102" i="2" l="1"/>
  <c r="B100" i="2"/>
  <c r="B6" i="3"/>
  <c r="B35" i="2"/>
  <c r="B58" i="2"/>
  <c r="I21" i="3"/>
  <c r="I20" i="3"/>
  <c r="B53" i="2"/>
  <c r="B54" i="2" s="1"/>
  <c r="I22" i="3"/>
  <c r="I23" i="3"/>
  <c r="B60" i="2" l="1"/>
  <c r="B59" i="2"/>
  <c r="B61" i="2" l="1"/>
  <c r="B62" i="2" s="1"/>
  <c r="B64" i="2" s="1"/>
  <c r="B74" i="2" s="1"/>
  <c r="B76" i="2" s="1"/>
  <c r="D12" i="3"/>
  <c r="F15" i="3"/>
  <c r="C14" i="3"/>
  <c r="C12" i="3"/>
  <c r="F12" i="3"/>
  <c r="D14" i="3"/>
  <c r="D13" i="3"/>
  <c r="F13" i="3"/>
  <c r="C15" i="3"/>
  <c r="E12" i="3"/>
  <c r="B13" i="3"/>
  <c r="E14" i="3"/>
  <c r="B12" i="3"/>
  <c r="C13" i="3"/>
  <c r="E13" i="3"/>
  <c r="B14" i="3"/>
  <c r="E15" i="3"/>
  <c r="F14" i="3"/>
  <c r="B15" i="3"/>
  <c r="D15" i="3"/>
  <c r="B101" i="2" l="1"/>
  <c r="B80" i="2"/>
  <c r="B88" i="2"/>
  <c r="B92" i="2" s="1"/>
  <c r="B103" i="2" l="1"/>
  <c r="B95" i="2"/>
  <c r="B8" i="3"/>
</calcChain>
</file>

<file path=xl/sharedStrings.xml><?xml version="1.0" encoding="utf-8"?>
<sst xmlns="http://schemas.openxmlformats.org/spreadsheetml/2006/main" count="218" uniqueCount="198">
  <si>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</si>
  <si>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</si>
  <si>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</si>
  <si>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</si>
  <si>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</si>
  <si>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</si>
  <si>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</si>
  <si>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</si>
  <si>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</si>
  <si>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Oct 2025 Pre-Funded Warrants</t>
  </si>
  <si>
    <t xml:space="preserve">Sold along with ~140M shares for $0.70 in the Oct 2025 $138M offering; </t>
  </si>
  <si>
    <t>Replacement Warrants (July 2025 inducement)</t>
  </si>
  <si>
    <t>July 2025 warrant exercise; SH approval Dec 2025</t>
  </si>
  <si>
    <t>Placement Agent Warrants</t>
  </si>
  <si>
    <t>Oct 2025 offering placement agent</t>
  </si>
  <si>
    <t>Legacy / Other Warrants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</si>
  <si>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</si>
  <si>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</si>
  <si>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</si>
  <si>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</si>
  <si>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</si>
  <si>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</si>
  <si>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</si>
  <si>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</si>
  <si>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</si>
  <si>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</si>
  <si>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</si>
  <si>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</si>
  <si>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Assumption: ~$60M raise at ~$6.00/share Phase 3 funding event (2028)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</si>
  <si>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</si>
  <si>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</si>
  <si>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</si>
  <si>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</si>
  <si>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</si>
  <si>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</si>
  <si>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</si>
  <si>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Typical early-stage biotech WACC - PoC &amp; safety proven in UC phase 1a</t>
  </si>
  <si>
    <t>Tax Rate</t>
  </si>
  <si>
    <t>NOLs and R&amp;D credits cover taxes for primary forecasting period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</si>
  <si>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</si>
  <si>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</si>
  <si>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</si>
  <si>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</si>
  <si>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</si>
  <si>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</si>
  <si>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</si>
  <si>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</si>
  <si>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</si>
  <si>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</si>
  <si>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</si>
  <si>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</si>
  <si>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oral PDE4 in crowded biologics market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</si>
  <si>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</si>
  <si>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</si>
  <si>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</si>
  <si>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</si>
  <si>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</si>
  <si>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</si>
  <si>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</si>
  <si>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</si>
  <si>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</si>
  <si>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</si>
  <si>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</si>
  <si>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</si>
  <si>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</si>
  <si>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</si>
  <si>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</si>
  <si>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</si>
  <si>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</si>
  <si>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</si>
  <si>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</si>
  <si>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</si>
  <si>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</si>
  <si>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Est. ~120k patients with a prior ileocecal resection, ~104k de novo stricture patients with localized SIBO, and ~88k de novo stricture patients with mild/moderate disease where upstream motility is still functional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</si>
  <si>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</si>
  <si>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</si>
  <si>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</si>
  <si>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</si>
  <si>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</si>
  <si>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</si>
  <si>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</si>
  <si>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</si>
  <si>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</si>
  <si>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</si>
  <si>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</si>
  <si>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</si>
  <si>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</si>
  <si>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</si>
  <si>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</si>
  <si>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</si>
  <si>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</si>
  <si>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</si>
  <si>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</si>
  <si>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</si>
  <si>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</si>
  <si>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</si>
  <si>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</si>
  <si>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</si>
  <si>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</si>
  <si>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</si>
  <si>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</si>
  <si>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</si>
  <si>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</si>
  <si>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</si>
  <si>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</si>
  <si>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</si>
  <si>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</si>
  <si>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</si>
  <si>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</si>
  <si>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</si>
  <si>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$2B peak (US+ROW)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</si>
  <si>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</si>
  <si>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</si>
  <si>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</si>
  <si>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</si>
  <si>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</si>
  <si>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</si>
  <si>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Oral small molecule, CRO-run, large registrational study planned N=195</t>
  </si>
  <si>
    <t>UC Phase 3 ($M, × P(reach Ph3))</t>
  </si>
  <si>
    <t>$55M × P(Ph1b→Ph2) × P(Ph2→Ph3)</t>
  </si>
  <si>
    <t>FSCD Phase 2 ($M, committed)</t>
  </si>
  <si>
    <t>Smaller cohort</t>
  </si>
  <si>
    <t>FSCD Phase 3 ($M, × P(reach Ph3))</t>
  </si>
  <si>
    <t>$40M × P(Ph1b→Ph2) × P(Ph2→Ph3)</t>
  </si>
  <si>
    <t>G&amp;A to commercialization ($M)</t>
  </si>
  <si>
    <t>~$6M/yr 2026-2027 (Phase 2) + ~10M/yr 2028-2030 (Phase 3 &amp; NDA)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</si>
  <si>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</si>
  <si>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</si>
  <si>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</si>
  <si>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</si>
  <si>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</si>
  <si>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</si>
  <si>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</si>
  <si>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Partnership / M&amp;A premium (%)</t>
  </si>
  <si>
    <t>Partnership / M&amp;A premium ($M)</t>
  </si>
  <si>
    <t>oral dual-mechanism, IP to 2041, validated PDE4B target</t>
  </si>
  <si>
    <t>Platform / preclinical optionality ($M)</t>
  </si>
  <si>
    <t>PDE4 platform, gut restricted platform</t>
  </si>
  <si>
    <t>CASH POSITION</t>
  </si>
  <si>
    <t>Cash &amp; equivalents ($M)</t>
  </si>
  <si>
    <t xml:space="preserve">Post Oct 2025 raise ($138M gross) + projected $60M future raise + $15.7M warrants 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</si>
  <si>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</si>
  <si>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</si>
  <si>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</si>
  <si>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</si>
  <si>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</si>
  <si>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</si>
  <si>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</si>
  <si>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</si>
  <si>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</si>
  <si>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</si>
  <si>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</si>
  <si>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</si>
  <si>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</si>
  <si>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</si>
  <si>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</si>
  <si>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</si>
  <si>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</si>
  <si>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</si>
  <si>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</si>
  <si>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</si>
  <si>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</si>
  <si>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</si>
  <si>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</si>
  <si>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</si>
  <si>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</si>
  <si>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</si>
  <si>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</si>
  <si>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</si>
  <si>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M&amp;A Premium</t>
  </si>
  <si>
    <t>Base Fair Value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</si>
  <si>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</si>
  <si>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</si>
  <si>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</si>
  <si>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</si>
  <si>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</si>
  <si>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</si>
  <si>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FSCD Share</t>
  </si>
  <si>
    <t>Platform ($M)</t>
  </si>
  <si>
    <t>Dev Cost Adj</t>
  </si>
  <si>
    <t>Fair Value</t>
  </si>
  <si>
    <t>Notes</t>
  </si>
  <si>
    <t>Bear Case</t>
  </si>
  <si>
    <t>MoA Validated (Anti-Inflammatory) but Transmural Fibrosis fails. FSCD halted. UC program preserved as lead asset. Cash burn reduced by cancelling FSCD Ph2/3</t>
  </si>
  <si>
    <t>Base Case</t>
  </si>
  <si>
    <t>Good (Safety)</t>
  </si>
  <si>
    <t>Safe + Confirmed Tissue PK/PD (Target Engagement), but no downstream structural changes</t>
  </si>
  <si>
    <t>Strong (MoA)</t>
  </si>
  <si>
    <t>Significant reduction in Fibrosis Genes (scRNA-seq) and/or resolution of Inflammatory Edema (precursor to stricture improvement)</t>
  </si>
  <si>
    <t>KEY ASSUMPTION JUSTIFICATIONS</t>
  </si>
  <si>
    <t>UC cPoS 28%: 100% clinical response in Ph1b is top-decile. Apremilast (PDE4) approval validates class.</t>
  </si>
  <si>
    <t>UC 6% share: Oral gut-targeted, no systemic immunosuppression vs JAK/biologics. Convenience advantage.</t>
  </si>
  <si>
    <t>FSCD cPoS 18%: PDE4B antifibrotic validated by BI 1015550 in IPF (NEJM). Agomab STENOVA de-risks path.</t>
  </si>
  <si>
    <t>Competitor: Agomab ontunisertib (ALK5) Ph2a+; different MOA. Spesolimab (BI) FAILED in FSCD.</t>
  </si>
  <si>
    <t>Competitor: ALK5 class history likely necessitates FDA-mandated cardiac monitoring (REMS) for Agomab despite clean Ph2. PALI-2108 (gut-restricted prodrug) offers unmonitored safety profile, capturing First-Line volume</t>
  </si>
  <si>
    <t>FSCD $2.8B peak: 320K US patients, $40K/yr orphan-adjacent pricing, 14.4% penetration, 0.5x ROW.</t>
  </si>
  <si>
    <t>first &amp; only therapy; strong first-mover; estimating Post-ICR Segment penetration 28% of ~120,000 patients &amp; SIBO Segment 17% of  ~104,000 patients</t>
  </si>
  <si>
    <t>FSCD Strong (MoA) scenario backed by reaction-diffusion model: https://github.com/dhovasse/Models/blob/master/PALI_FSCD_RD_model.py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</si>
</sst>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</numFmts>
  <fonts count="2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4E79"/>
      <name val="Arial"/>
      <family val="2"/>
      <charset val="1"/>
    </font>
    <font>
      <i/>
      <sz val="9"/>
      <color rgb="FF666666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1"/>
      <color rgb="FF1F4E79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9"/>
      <color rgb="FF1F4E79"/>
      <name val="Arial"/>
      <family val="2"/>
      <charset val="1"/>
    </font>
    <font>
      <b/>
      <u/>
      <sz val="10"/>
      <color rgb="FF1F4E79"/>
      <name val="Arial"/>
      <family val="2"/>
      <charset val="1"/>
    </font>
    <font>
      <b/>
      <sz val="11"/>
      <color rgb="FF008000"/>
      <name val="Arial"/>
      <family val="2"/>
      <charset val="1"/>
    </font>
    <font>
      <b/>
      <sz val="12"/>
      <color rgb="FF006100"/>
      <name val="Arial"/>
      <family val="2"/>
      <charset val="1"/>
    </font>
    <font>
      <b/>
      <sz val="14"/>
      <color rgb="FF006100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1"/>
      <color rgb="FF006100"/>
      <name val="Arial"/>
      <family val="2"/>
      <charset val="1"/>
    </font>
    <font>
      <b/>
      <sz val="9"/>
      <name val="Arial"/>
      <family val="2"/>
      <charset val="1"/>
    </font>
    <font>
      <sz val="11"/>
      <name val="Arial"/>
      <family val="2"/>
      <charset val="1"/>
    </font>
    <font>
      <b/>
      <sz val="11"/>
      <color rgb="FF006100"/>
      <name val="Calibri"/>
      <family val="2"/>
      <charset val="1"/>
    </font>
    <font>
      <b/>
      <sz val="11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/>
    <xf numFmtId="3" fontId="6" fillId="4" borderId="1" xfId="0" applyNumberFormat="1" applyFont="1" applyFill="1" applyBorder="1"/>
    <xf numFmtId="0" fontId="7" fillId="0" borderId="1" xfId="0" applyFont="1" applyBorder="1"/>
    <xf numFmtId="0" fontId="8" fillId="0" borderId="1" xfId="0" applyFont="1" applyBorder="1"/>
    <xf numFmtId="0" fontId="9" fillId="5" borderId="1" xfId="0" applyFont="1" applyFill="1" applyBorder="1"/>
    <xf numFmtId="0" fontId="0" fillId="5" borderId="1" xfId="0" applyFill="1" applyBorder="1"/>
    <xf numFmtId="3" fontId="6" fillId="0" borderId="1" xfId="0" applyNumberFormat="1" applyFont="1" applyBorder="1"/>
    <xf numFmtId="164" fontId="6" fillId="0" borderId="1" xfId="0" applyNumberFormat="1" applyFont="1" applyBorder="1"/>
    <xf numFmtId="0" fontId="10" fillId="6" borderId="1" xfId="0" applyFont="1" applyFill="1" applyBorder="1"/>
    <xf numFmtId="3" fontId="10" fillId="6" borderId="1" xfId="0" applyNumberFormat="1" applyFont="1" applyFill="1" applyBorder="1"/>
    <xf numFmtId="0" fontId="7" fillId="6" borderId="1" xfId="0" applyFont="1" applyFill="1" applyBorder="1"/>
    <xf numFmtId="0" fontId="11" fillId="5" borderId="2" xfId="0" applyFont="1" applyFill="1" applyBorder="1"/>
    <xf numFmtId="3" fontId="11" fillId="5" borderId="2" xfId="0" applyNumberFormat="1" applyFont="1" applyFill="1" applyBorder="1"/>
    <xf numFmtId="0" fontId="7" fillId="5" borderId="2" xfId="0" applyFont="1" applyFill="1" applyBorder="1"/>
    <xf numFmtId="0" fontId="12" fillId="5" borderId="2" xfId="0" applyFont="1" applyFill="1" applyBorder="1"/>
    <xf numFmtId="165" fontId="6" fillId="4" borderId="1" xfId="0" applyNumberFormat="1" applyFont="1" applyFill="1" applyBorder="1"/>
    <xf numFmtId="0" fontId="3" fillId="0" borderId="1" xfId="0" applyFont="1" applyBorder="1"/>
    <xf numFmtId="1" fontId="6" fillId="4" borderId="1" xfId="0" applyNumberFormat="1" applyFont="1" applyFill="1" applyBorder="1"/>
    <xf numFmtId="166" fontId="6" fillId="4" borderId="1" xfId="0" applyNumberFormat="1" applyFont="1" applyFill="1" applyBorder="1"/>
    <xf numFmtId="166" fontId="7" fillId="0" borderId="1" xfId="0" applyNumberFormat="1" applyFont="1" applyBorder="1"/>
    <xf numFmtId="2" fontId="6" fillId="4" borderId="1" xfId="0" applyNumberFormat="1" applyFont="1" applyFill="1" applyBorder="1"/>
    <xf numFmtId="165" fontId="10" fillId="0" borderId="1" xfId="0" applyNumberFormat="1" applyFont="1" applyBorder="1"/>
    <xf numFmtId="167" fontId="6" fillId="4" borderId="1" xfId="0" applyNumberFormat="1" applyFont="1" applyFill="1" applyBorder="1"/>
    <xf numFmtId="0" fontId="7" fillId="5" borderId="1" xfId="0" applyFont="1" applyFill="1" applyBorder="1"/>
    <xf numFmtId="0" fontId="13" fillId="0" borderId="1" xfId="0" applyFont="1" applyBorder="1"/>
    <xf numFmtId="3" fontId="7" fillId="0" borderId="0" xfId="0" applyNumberFormat="1" applyFont="1"/>
    <xf numFmtId="0" fontId="7" fillId="0" borderId="0" xfId="0" applyFont="1"/>
    <xf numFmtId="3" fontId="7" fillId="0" borderId="1" xfId="0" applyNumberFormat="1" applyFont="1" applyBorder="1"/>
    <xf numFmtId="165" fontId="7" fillId="0" borderId="1" xfId="0" applyNumberFormat="1" applyFont="1" applyBorder="1"/>
    <xf numFmtId="0" fontId="10" fillId="0" borderId="1" xfId="0" applyFont="1" applyBorder="1"/>
    <xf numFmtId="168" fontId="10" fillId="0" borderId="1" xfId="0" applyNumberFormat="1" applyFont="1" applyBorder="1"/>
    <xf numFmtId="166" fontId="7" fillId="0" borderId="0" xfId="0" applyNumberFormat="1" applyFont="1"/>
    <xf numFmtId="168" fontId="7" fillId="0" borderId="1" xfId="0" applyNumberFormat="1" applyFont="1" applyBorder="1"/>
    <xf numFmtId="168" fontId="10" fillId="6" borderId="1" xfId="0" applyNumberFormat="1" applyFont="1" applyFill="1" applyBorder="1"/>
    <xf numFmtId="164" fontId="7" fillId="0" borderId="0" xfId="0" applyNumberFormat="1" applyFont="1"/>
    <xf numFmtId="166" fontId="10" fillId="0" borderId="1" xfId="0" applyNumberFormat="1" applyFont="1" applyBorder="1"/>
    <xf numFmtId="168" fontId="11" fillId="5" borderId="2" xfId="0" applyNumberFormat="1" applyFont="1" applyFill="1" applyBorder="1"/>
    <xf numFmtId="0" fontId="3" fillId="5" borderId="2" xfId="0" applyFont="1" applyFill="1" applyBorder="1"/>
    <xf numFmtId="164" fontId="7" fillId="5" borderId="1" xfId="0" applyNumberFormat="1" applyFont="1" applyFill="1" applyBorder="1"/>
    <xf numFmtId="3" fontId="14" fillId="0" borderId="1" xfId="0" applyNumberFormat="1" applyFont="1" applyBorder="1"/>
    <xf numFmtId="0" fontId="15" fillId="7" borderId="2" xfId="0" applyFont="1" applyFill="1" applyBorder="1"/>
    <xf numFmtId="164" fontId="16" fillId="7" borderId="2" xfId="0" applyNumberFormat="1" applyFont="1" applyFill="1" applyBorder="1"/>
    <xf numFmtId="164" fontId="6" fillId="4" borderId="1" xfId="0" applyNumberFormat="1" applyFont="1" applyFill="1" applyBorder="1"/>
    <xf numFmtId="0" fontId="7" fillId="5" borderId="0" xfId="0" applyFont="1" applyFill="1"/>
    <xf numFmtId="164" fontId="7" fillId="0" borderId="1" xfId="0" applyNumberFormat="1" applyFont="1" applyBorder="1"/>
    <xf numFmtId="0" fontId="10" fillId="7" borderId="2" xfId="0" applyFont="1" applyFill="1" applyBorder="1"/>
    <xf numFmtId="164" fontId="10" fillId="7" borderId="2" xfId="0" applyNumberFormat="1" applyFont="1" applyFill="1" applyBorder="1"/>
    <xf numFmtId="0" fontId="11" fillId="0" borderId="0" xfId="0" applyFont="1"/>
    <xf numFmtId="0" fontId="17" fillId="0" borderId="0" xfId="0" applyFont="1"/>
    <xf numFmtId="0" fontId="9" fillId="5" borderId="0" xfId="0" applyFont="1" applyFill="1"/>
    <xf numFmtId="0" fontId="17" fillId="5" borderId="0" xfId="0" applyFont="1" applyFill="1"/>
    <xf numFmtId="0" fontId="18" fillId="0" borderId="1" xfId="0" applyFont="1" applyBorder="1"/>
    <xf numFmtId="165" fontId="17" fillId="0" borderId="1" xfId="0" applyNumberFormat="1" applyFont="1" applyBorder="1" applyAlignment="1">
      <alignment horizontal="center"/>
    </xf>
    <xf numFmtId="9" fontId="18" fillId="0" borderId="1" xfId="0" applyNumberFormat="1" applyFont="1" applyBorder="1"/>
    <xf numFmtId="9" fontId="17" fillId="0" borderId="0" xfId="0" applyNumberFormat="1" applyFont="1"/>
    <xf numFmtId="164" fontId="18" fillId="0" borderId="1" xfId="0" applyNumberFormat="1" applyFont="1" applyBorder="1"/>
    <xf numFmtId="164" fontId="17" fillId="0" borderId="0" xfId="0" applyNumberFormat="1" applyFont="1"/>
    <xf numFmtId="3" fontId="17" fillId="0" borderId="1" xfId="0" applyNumberFormat="1" applyFont="1" applyBorder="1" applyAlignment="1">
      <alignment horizontal="center"/>
    </xf>
    <xf numFmtId="166" fontId="17" fillId="0" borderId="1" xfId="0" applyNumberFormat="1" applyFont="1" applyBorder="1" applyAlignment="1">
      <alignment horizontal="center"/>
    </xf>
    <xf numFmtId="9" fontId="17" fillId="0" borderId="1" xfId="0" applyNumberFormat="1" applyFont="1" applyBorder="1" applyAlignment="1">
      <alignment horizontal="center"/>
    </xf>
    <xf numFmtId="9" fontId="19" fillId="7" borderId="1" xfId="0" applyNumberFormat="1" applyFont="1" applyFill="1" applyBorder="1"/>
    <xf numFmtId="164" fontId="19" fillId="7" borderId="1" xfId="0" applyNumberFormat="1" applyFont="1" applyFill="1" applyBorder="1" applyAlignment="1">
      <alignment horizontal="center"/>
    </xf>
    <xf numFmtId="164" fontId="17" fillId="0" borderId="1" xfId="0" applyNumberFormat="1" applyFont="1" applyBorder="1" applyAlignment="1">
      <alignment horizontal="center"/>
    </xf>
    <xf numFmtId="0" fontId="20" fillId="6" borderId="1" xfId="0" applyFont="1" applyFill="1" applyBorder="1"/>
    <xf numFmtId="9" fontId="18" fillId="6" borderId="1" xfId="0" applyNumberFormat="1" applyFont="1" applyFill="1" applyBorder="1" applyAlignment="1">
      <alignment horizontal="center"/>
    </xf>
    <xf numFmtId="9" fontId="18" fillId="6" borderId="0" xfId="0" applyNumberFormat="1" applyFont="1" applyFill="1" applyAlignment="1">
      <alignment horizontal="center"/>
    </xf>
    <xf numFmtId="164" fontId="17" fillId="0" borderId="0" xfId="0" applyNumberFormat="1" applyFont="1" applyAlignment="1">
      <alignment horizontal="center"/>
    </xf>
    <xf numFmtId="164" fontId="21" fillId="0" borderId="1" xfId="0" applyNumberFormat="1" applyFont="1" applyBorder="1" applyAlignment="1">
      <alignment horizontal="center"/>
    </xf>
    <xf numFmtId="164" fontId="22" fillId="7" borderId="1" xfId="0" applyNumberFormat="1" applyFont="1" applyFill="1" applyBorder="1" applyAlignment="1">
      <alignment horizontal="center"/>
    </xf>
    <xf numFmtId="169" fontId="17" fillId="0" borderId="0" xfId="0" applyNumberFormat="1" applyFont="1"/>
    <xf numFmtId="9" fontId="17" fillId="5" borderId="0" xfId="0" applyNumberFormat="1" applyFont="1" applyFill="1"/>
    <xf numFmtId="165" fontId="17" fillId="5" borderId="0" xfId="0" applyNumberFormat="1" applyFont="1" applyFill="1"/>
    <xf numFmtId="164" fontId="17" fillId="5" borderId="0" xfId="0" applyNumberFormat="1" applyFont="1" applyFill="1"/>
    <xf numFmtId="0" fontId="18" fillId="6" borderId="1" xfId="0" applyFont="1" applyFill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164" fontId="23" fillId="7" borderId="1" xfId="0" applyNumberFormat="1" applyFont="1" applyFill="1" applyBorder="1" applyAlignment="1">
      <alignment horizontal="center"/>
    </xf>
    <xf numFmtId="0" fontId="9" fillId="0" borderId="0" xfId="0" applyFont="1"/>
    <xf numFmtId="165" fontId="1" fillId="0" borderId="1" xfId="0" applyNumberFormat="1" applyFont="1" applyBorder="1" applyAlignment="1">
      <alignment horizont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81" t="s">
        <v>0</v>
      </c>
      <c r="B1" s="81"/>
      <c r="C1" s="81"/>
      <c r="D1" s="81"/>
    </row>
    <row r="2" spans="1:4" ht="15" customHeight="1" x14ac:dyDescent="0.35">
      <c r="A2" s="82" t="s">
        <v>1</v>
      </c>
      <c r="B2" s="82"/>
      <c r="C2" s="82"/>
      <c r="D2" s="82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9</v>
      </c>
      <c r="B8" s="9">
        <v>57270786</v>
      </c>
      <c r="C8" s="10">
        <v>1E-4</v>
      </c>
      <c r="D8" s="6" t="s">
        <v>10</v>
      </c>
    </row>
    <row r="9" spans="1:4" ht="15" customHeight="1" x14ac:dyDescent="0.35">
      <c r="A9" s="5" t="s">
        <v>11</v>
      </c>
      <c r="B9" s="9">
        <v>8637810</v>
      </c>
      <c r="C9" s="10">
        <v>0.90469999999999995</v>
      </c>
      <c r="D9" s="6" t="s">
        <v>12</v>
      </c>
    </row>
    <row r="10" spans="1:4" ht="15" customHeight="1" x14ac:dyDescent="0.35">
      <c r="A10" s="5" t="s">
        <v>13</v>
      </c>
      <c r="B10" s="9">
        <v>6850356</v>
      </c>
      <c r="C10" s="10">
        <v>1.155</v>
      </c>
      <c r="D10" s="6" t="s">
        <v>14</v>
      </c>
    </row>
    <row r="11" spans="1:4" ht="15" customHeight="1" x14ac:dyDescent="0.35">
      <c r="A11" s="5" t="s">
        <v>15</v>
      </c>
      <c r="B11" s="9">
        <v>0</v>
      </c>
      <c r="C11" s="10">
        <v>0</v>
      </c>
      <c r="D11" s="6" t="s">
        <v>16</v>
      </c>
    </row>
    <row r="12" spans="1:4" ht="15" customHeight="1" x14ac:dyDescent="0.35">
      <c r="A12" s="11" t="s">
        <v>17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18</v>
      </c>
      <c r="B14" s="8"/>
      <c r="C14" s="8"/>
      <c r="D14" s="8"/>
    </row>
    <row r="15" spans="1:4" ht="15" customHeight="1" x14ac:dyDescent="0.35">
      <c r="A15" s="5" t="s">
        <v>19</v>
      </c>
      <c r="B15" s="9">
        <v>2500000</v>
      </c>
      <c r="C15" s="10">
        <v>1.5</v>
      </c>
      <c r="D15" s="6" t="s">
        <v>20</v>
      </c>
    </row>
    <row r="16" spans="1:4" ht="15" customHeight="1" x14ac:dyDescent="0.35">
      <c r="A16" s="5" t="s">
        <v>21</v>
      </c>
      <c r="B16" s="9">
        <v>1500000</v>
      </c>
      <c r="C16" s="10">
        <v>1.2</v>
      </c>
      <c r="D16" s="6" t="s">
        <v>22</v>
      </c>
    </row>
    <row r="17" spans="1:4" ht="15" customHeight="1" x14ac:dyDescent="0.35">
      <c r="A17" s="5" t="s">
        <v>23</v>
      </c>
      <c r="B17" s="9">
        <v>500000</v>
      </c>
      <c r="C17" s="10">
        <v>0</v>
      </c>
      <c r="D17" s="6" t="s">
        <v>24</v>
      </c>
    </row>
    <row r="18" spans="1:4" ht="15" customHeight="1" x14ac:dyDescent="0.35">
      <c r="A18" s="11" t="s">
        <v>25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26</v>
      </c>
      <c r="B20" s="8"/>
      <c r="C20" s="8"/>
      <c r="D20" s="8"/>
    </row>
    <row r="21" spans="1:4" ht="15" customHeight="1" x14ac:dyDescent="0.35">
      <c r="A21" s="5" t="s">
        <v>27</v>
      </c>
      <c r="B21" s="4">
        <v>10000000</v>
      </c>
      <c r="C21" s="10">
        <v>6</v>
      </c>
      <c r="D21" s="6" t="s">
        <v>28</v>
      </c>
    </row>
    <row r="22" spans="1:4" ht="15" customHeight="1" x14ac:dyDescent="0.35">
      <c r="A22" s="11" t="s">
        <v>29</v>
      </c>
      <c r="B22" s="12">
        <f>B21</f>
        <v>10000000</v>
      </c>
      <c r="C22" s="13"/>
      <c r="D22" s="13"/>
    </row>
    <row r="24" spans="1:4" ht="15" customHeight="1" x14ac:dyDescent="0.35">
      <c r="A24" s="14" t="s">
        <v>30</v>
      </c>
      <c r="B24" s="15">
        <f>B5+B12+B18+B22</f>
        <v>236262162</v>
      </c>
      <c r="C24" s="16"/>
      <c r="D24" s="17" t="s">
        <v>31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3"/>
  <sheetViews>
    <sheetView topLeftCell="A19" zoomScaleNormal="100" workbookViewId="0">
      <selection activeCell="B31" sqref="B31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81" t="s">
        <v>32</v>
      </c>
      <c r="B1" s="81"/>
      <c r="C1" s="81"/>
    </row>
    <row r="2" spans="1:3" ht="15" customHeight="1" x14ac:dyDescent="0.35">
      <c r="A2" s="82" t="s">
        <v>33</v>
      </c>
      <c r="B2" s="82"/>
      <c r="C2" s="82"/>
    </row>
    <row r="4" spans="1:3" ht="15" customHeight="1" x14ac:dyDescent="0.35">
      <c r="A4" s="7" t="s">
        <v>34</v>
      </c>
      <c r="B4" s="8"/>
      <c r="C4" s="8"/>
    </row>
    <row r="5" spans="1:3" ht="15" customHeight="1" x14ac:dyDescent="0.35">
      <c r="A5" s="5" t="s">
        <v>35</v>
      </c>
      <c r="B5" s="18">
        <v>0.13</v>
      </c>
      <c r="C5" s="19" t="s">
        <v>36</v>
      </c>
    </row>
    <row r="6" spans="1:3" ht="15" customHeight="1" x14ac:dyDescent="0.35">
      <c r="A6" s="5" t="s">
        <v>37</v>
      </c>
      <c r="B6" s="18">
        <v>0</v>
      </c>
      <c r="C6" s="19" t="s">
        <v>38</v>
      </c>
    </row>
    <row r="7" spans="1:3" ht="15" customHeight="1" x14ac:dyDescent="0.35">
      <c r="A7" s="5" t="s">
        <v>39</v>
      </c>
      <c r="B7" s="20">
        <v>2041</v>
      </c>
      <c r="C7" s="19" t="s">
        <v>40</v>
      </c>
    </row>
    <row r="8" spans="1:3" ht="15" customHeight="1" x14ac:dyDescent="0.35">
      <c r="A8" s="5" t="s">
        <v>41</v>
      </c>
      <c r="B8" s="20">
        <v>2031</v>
      </c>
      <c r="C8" s="19" t="s">
        <v>42</v>
      </c>
    </row>
    <row r="9" spans="1:3" ht="15" customHeight="1" x14ac:dyDescent="0.35">
      <c r="A9" s="5" t="s">
        <v>43</v>
      </c>
      <c r="B9" s="20">
        <v>2032</v>
      </c>
      <c r="C9" s="19" t="s">
        <v>44</v>
      </c>
    </row>
    <row r="10" spans="1:3" ht="15" customHeight="1" x14ac:dyDescent="0.35">
      <c r="A10" s="5" t="s">
        <v>45</v>
      </c>
      <c r="B10" s="20">
        <v>2026</v>
      </c>
      <c r="C10" s="19" t="s">
        <v>46</v>
      </c>
    </row>
    <row r="12" spans="1:3" ht="15" customHeight="1" x14ac:dyDescent="0.35">
      <c r="A12" s="7" t="s">
        <v>47</v>
      </c>
      <c r="B12" s="8"/>
      <c r="C12" s="8"/>
    </row>
    <row r="13" spans="1:3" ht="15" customHeight="1" x14ac:dyDescent="0.35">
      <c r="A13" s="5" t="s">
        <v>48</v>
      </c>
      <c r="B13" s="21">
        <v>10000</v>
      </c>
      <c r="C13" s="19" t="s">
        <v>49</v>
      </c>
    </row>
    <row r="14" spans="1:3" ht="15" customHeight="1" x14ac:dyDescent="0.35">
      <c r="A14" s="5" t="s">
        <v>50</v>
      </c>
      <c r="B14" s="18">
        <v>0.06</v>
      </c>
      <c r="C14" s="19" t="s">
        <v>51</v>
      </c>
    </row>
    <row r="15" spans="1:3" ht="15" customHeight="1" x14ac:dyDescent="0.35">
      <c r="A15" s="5" t="s">
        <v>52</v>
      </c>
      <c r="B15" s="22">
        <f>B13*B14</f>
        <v>600</v>
      </c>
      <c r="C15" s="19" t="s">
        <v>53</v>
      </c>
    </row>
    <row r="16" spans="1:3" ht="15" customHeight="1" x14ac:dyDescent="0.35">
      <c r="A16" s="5" t="s">
        <v>54</v>
      </c>
      <c r="B16" s="18">
        <v>0.35</v>
      </c>
      <c r="C16" s="19" t="s">
        <v>55</v>
      </c>
    </row>
    <row r="17" spans="1:3" ht="15" customHeight="1" x14ac:dyDescent="0.35">
      <c r="A17" s="5" t="s">
        <v>56</v>
      </c>
      <c r="B17" s="22">
        <f>B15*B16</f>
        <v>210</v>
      </c>
      <c r="C17" s="19" t="s">
        <v>57</v>
      </c>
    </row>
    <row r="18" spans="1:3" ht="15" customHeight="1" x14ac:dyDescent="0.35">
      <c r="A18" s="5" t="s">
        <v>58</v>
      </c>
      <c r="B18" s="23">
        <v>0.6</v>
      </c>
      <c r="C18" s="19" t="s">
        <v>59</v>
      </c>
    </row>
    <row r="20" spans="1:3" ht="15" customHeight="1" x14ac:dyDescent="0.35">
      <c r="A20" s="7" t="s">
        <v>60</v>
      </c>
      <c r="B20" s="8"/>
      <c r="C20" s="8"/>
    </row>
    <row r="21" spans="1:3" ht="15" customHeight="1" x14ac:dyDescent="0.35">
      <c r="A21" s="5" t="s">
        <v>61</v>
      </c>
      <c r="B21" s="18">
        <v>0.9</v>
      </c>
      <c r="C21" s="19" t="s">
        <v>62</v>
      </c>
    </row>
    <row r="22" spans="1:3" ht="15" customHeight="1" x14ac:dyDescent="0.35">
      <c r="A22" s="5" t="s">
        <v>63</v>
      </c>
      <c r="B22" s="18">
        <v>0.5</v>
      </c>
      <c r="C22" s="19" t="s">
        <v>64</v>
      </c>
    </row>
    <row r="23" spans="1:3" ht="15" customHeight="1" x14ac:dyDescent="0.35">
      <c r="A23" s="5" t="s">
        <v>65</v>
      </c>
      <c r="B23" s="18">
        <v>0.7</v>
      </c>
      <c r="C23" s="19" t="s">
        <v>66</v>
      </c>
    </row>
    <row r="24" spans="1:3" ht="15" customHeight="1" x14ac:dyDescent="0.35">
      <c r="A24" s="5" t="s">
        <v>67</v>
      </c>
      <c r="B24" s="18">
        <v>0.9</v>
      </c>
      <c r="C24" s="19" t="s">
        <v>68</v>
      </c>
    </row>
    <row r="25" spans="1:3" ht="15" customHeight="1" x14ac:dyDescent="0.35">
      <c r="A25" s="5" t="s">
        <v>69</v>
      </c>
      <c r="B25" s="24">
        <f>B21*B22*B23*B24</f>
        <v>0.28350000000000003</v>
      </c>
      <c r="C25" s="19" t="s">
        <v>70</v>
      </c>
    </row>
    <row r="27" spans="1:3" ht="15" customHeight="1" x14ac:dyDescent="0.35">
      <c r="A27" s="7" t="s">
        <v>71</v>
      </c>
      <c r="B27" s="8"/>
      <c r="C27" s="8"/>
    </row>
    <row r="28" spans="1:3" ht="15" customHeight="1" x14ac:dyDescent="0.35">
      <c r="A28" s="5" t="s">
        <v>72</v>
      </c>
      <c r="B28" s="4">
        <v>320000</v>
      </c>
      <c r="C28" s="19" t="s">
        <v>73</v>
      </c>
    </row>
    <row r="29" spans="1:3" ht="15" customHeight="1" x14ac:dyDescent="0.35">
      <c r="A29" s="5" t="s">
        <v>74</v>
      </c>
      <c r="B29" s="21">
        <v>40000</v>
      </c>
      <c r="C29" s="19" t="s">
        <v>75</v>
      </c>
    </row>
    <row r="30" spans="1:3" ht="15" customHeight="1" x14ac:dyDescent="0.35">
      <c r="A30" s="5" t="s">
        <v>76</v>
      </c>
      <c r="B30" s="18">
        <v>0.16</v>
      </c>
      <c r="C30" s="19" t="s">
        <v>196</v>
      </c>
    </row>
    <row r="31" spans="1:3" ht="15" customHeight="1" x14ac:dyDescent="0.35">
      <c r="A31" s="5" t="s">
        <v>77</v>
      </c>
      <c r="B31" s="22">
        <f>B28*B29*B30/1000000</f>
        <v>2048</v>
      </c>
      <c r="C31" s="19" t="s">
        <v>78</v>
      </c>
    </row>
    <row r="32" spans="1:3" ht="15" customHeight="1" x14ac:dyDescent="0.35">
      <c r="A32" s="5" t="s">
        <v>79</v>
      </c>
      <c r="B32" s="25">
        <v>0.5</v>
      </c>
      <c r="C32" s="19" t="s">
        <v>80</v>
      </c>
    </row>
    <row r="33" spans="1:3" ht="15" customHeight="1" x14ac:dyDescent="0.35">
      <c r="A33" s="5" t="s">
        <v>81</v>
      </c>
      <c r="B33" s="22">
        <f>B31*(1+B32)</f>
        <v>3072</v>
      </c>
      <c r="C33" s="19" t="s">
        <v>82</v>
      </c>
    </row>
    <row r="34" spans="1:3" ht="15" customHeight="1" x14ac:dyDescent="0.35">
      <c r="A34" s="5" t="s">
        <v>83</v>
      </c>
      <c r="B34" s="18">
        <v>0.35</v>
      </c>
      <c r="C34" s="19" t="s">
        <v>84</v>
      </c>
    </row>
    <row r="35" spans="1:3" ht="15" customHeight="1" x14ac:dyDescent="0.35">
      <c r="A35" s="5" t="s">
        <v>56</v>
      </c>
      <c r="B35" s="22">
        <f>B33*B34</f>
        <v>1075.1999999999998</v>
      </c>
      <c r="C35" s="19" t="s">
        <v>85</v>
      </c>
    </row>
    <row r="36" spans="1:3" ht="15" customHeight="1" x14ac:dyDescent="0.35">
      <c r="A36" s="5" t="s">
        <v>58</v>
      </c>
      <c r="B36" s="23">
        <v>0.65</v>
      </c>
      <c r="C36" s="19" t="s">
        <v>86</v>
      </c>
    </row>
    <row r="38" spans="1:3" ht="15" customHeight="1" x14ac:dyDescent="0.35">
      <c r="A38" s="7" t="s">
        <v>87</v>
      </c>
      <c r="B38" s="8"/>
      <c r="C38" s="8"/>
    </row>
    <row r="39" spans="1:3" ht="15" customHeight="1" x14ac:dyDescent="0.35">
      <c r="A39" s="5" t="s">
        <v>61</v>
      </c>
      <c r="B39" s="18">
        <v>0.85</v>
      </c>
      <c r="C39" s="19" t="s">
        <v>88</v>
      </c>
    </row>
    <row r="40" spans="1:3" ht="15" customHeight="1" x14ac:dyDescent="0.35">
      <c r="A40" s="5" t="s">
        <v>63</v>
      </c>
      <c r="B40" s="18">
        <v>0.35</v>
      </c>
      <c r="C40" s="19" t="s">
        <v>89</v>
      </c>
    </row>
    <row r="41" spans="1:3" ht="15" customHeight="1" x14ac:dyDescent="0.35">
      <c r="A41" s="5" t="s">
        <v>65</v>
      </c>
      <c r="B41" s="18">
        <v>0.7</v>
      </c>
      <c r="C41" s="19" t="s">
        <v>90</v>
      </c>
    </row>
    <row r="42" spans="1:3" ht="15" customHeight="1" x14ac:dyDescent="0.35">
      <c r="A42" s="5" t="s">
        <v>67</v>
      </c>
      <c r="B42" s="18">
        <v>0.9</v>
      </c>
      <c r="C42" s="19" t="s">
        <v>91</v>
      </c>
    </row>
    <row r="43" spans="1:3" ht="15" customHeight="1" x14ac:dyDescent="0.35">
      <c r="A43" s="5" t="s">
        <v>69</v>
      </c>
      <c r="B43" s="24">
        <f>B39*B40*B41*B42</f>
        <v>0.18742500000000001</v>
      </c>
      <c r="C43" s="19" t="s">
        <v>70</v>
      </c>
    </row>
    <row r="45" spans="1:3" ht="15" customHeight="1" x14ac:dyDescent="0.35">
      <c r="A45" s="7" t="s">
        <v>92</v>
      </c>
      <c r="B45" s="26"/>
      <c r="C45" s="26"/>
    </row>
    <row r="46" spans="1:3" ht="15" customHeight="1" x14ac:dyDescent="0.35">
      <c r="A46" s="27" t="s">
        <v>93</v>
      </c>
      <c r="B46" s="28"/>
      <c r="C46" s="29"/>
    </row>
    <row r="47" spans="1:3" ht="15" customHeight="1" x14ac:dyDescent="0.35">
      <c r="A47" s="5" t="s">
        <v>94</v>
      </c>
      <c r="B47" s="30">
        <f>B7-B8</f>
        <v>10</v>
      </c>
      <c r="C47" s="1" t="s">
        <v>95</v>
      </c>
    </row>
    <row r="48" spans="1:3" ht="15" customHeight="1" x14ac:dyDescent="0.35">
      <c r="A48" s="5" t="s">
        <v>96</v>
      </c>
      <c r="B48" s="22">
        <f>B15</f>
        <v>600</v>
      </c>
      <c r="C48" s="1" t="s">
        <v>97</v>
      </c>
    </row>
    <row r="49" spans="1:3" ht="15" customHeight="1" x14ac:dyDescent="0.35">
      <c r="A49" s="5" t="s">
        <v>98</v>
      </c>
      <c r="B49" s="22">
        <f>B17</f>
        <v>210</v>
      </c>
      <c r="C49" s="1" t="s">
        <v>99</v>
      </c>
    </row>
    <row r="50" spans="1:3" ht="15" customHeight="1" x14ac:dyDescent="0.35">
      <c r="A50" s="5" t="s">
        <v>100</v>
      </c>
      <c r="B50" s="22">
        <f>B17*B18</f>
        <v>126</v>
      </c>
      <c r="C50" s="1" t="s">
        <v>101</v>
      </c>
    </row>
    <row r="51" spans="1:3" ht="15" customHeight="1" x14ac:dyDescent="0.35">
      <c r="A51" s="5" t="s">
        <v>102</v>
      </c>
      <c r="B51" s="22">
        <f>B50*((1-(1+B5)^(-B47))/B5)</f>
        <v>683.70667797006286</v>
      </c>
      <c r="C51" s="1" t="s">
        <v>103</v>
      </c>
    </row>
    <row r="52" spans="1:3" ht="15" customHeight="1" x14ac:dyDescent="0.35">
      <c r="A52" s="5" t="s">
        <v>104</v>
      </c>
      <c r="B52" s="22">
        <f>B51/(1+B5)^(B8-B10)</f>
        <v>371.08859277742692</v>
      </c>
      <c r="C52" s="1" t="s">
        <v>105</v>
      </c>
    </row>
    <row r="53" spans="1:3" ht="15" customHeight="1" x14ac:dyDescent="0.35">
      <c r="A53" s="5" t="s">
        <v>106</v>
      </c>
      <c r="B53" s="31">
        <f>B25</f>
        <v>0.28350000000000003</v>
      </c>
      <c r="C53" s="29"/>
    </row>
    <row r="54" spans="1:3" ht="15" customHeight="1" x14ac:dyDescent="0.35">
      <c r="A54" s="32" t="s">
        <v>107</v>
      </c>
      <c r="B54" s="33">
        <f>B52*B53</f>
        <v>105.20361605240055</v>
      </c>
      <c r="C54" s="29"/>
    </row>
    <row r="55" spans="1:3" ht="15" customHeight="1" x14ac:dyDescent="0.35">
      <c r="A55" s="5"/>
      <c r="B55" s="34"/>
      <c r="C55" s="29"/>
    </row>
    <row r="56" spans="1:3" ht="15" customHeight="1" x14ac:dyDescent="0.35">
      <c r="A56" s="27" t="s">
        <v>108</v>
      </c>
      <c r="B56" s="34"/>
      <c r="C56" s="29"/>
    </row>
    <row r="57" spans="1:3" ht="15" customHeight="1" x14ac:dyDescent="0.35">
      <c r="A57" s="5" t="s">
        <v>94</v>
      </c>
      <c r="B57" s="30">
        <f>B7-B9</f>
        <v>9</v>
      </c>
      <c r="C57" s="1" t="s">
        <v>109</v>
      </c>
    </row>
    <row r="58" spans="1:3" ht="15" customHeight="1" x14ac:dyDescent="0.35">
      <c r="A58" s="5" t="s">
        <v>96</v>
      </c>
      <c r="B58" s="22">
        <f>B33</f>
        <v>3072</v>
      </c>
      <c r="C58" s="1" t="s">
        <v>110</v>
      </c>
    </row>
    <row r="59" spans="1:3" ht="15" customHeight="1" x14ac:dyDescent="0.35">
      <c r="A59" s="5" t="s">
        <v>98</v>
      </c>
      <c r="B59" s="22">
        <f>B35</f>
        <v>1075.1999999999998</v>
      </c>
      <c r="C59" s="1" t="s">
        <v>99</v>
      </c>
    </row>
    <row r="60" spans="1:3" ht="15" customHeight="1" x14ac:dyDescent="0.35">
      <c r="A60" s="5" t="s">
        <v>100</v>
      </c>
      <c r="B60" s="22">
        <f>B35*B36</f>
        <v>698.87999999999988</v>
      </c>
      <c r="C60" s="1" t="s">
        <v>111</v>
      </c>
    </row>
    <row r="61" spans="1:3" ht="15" customHeight="1" x14ac:dyDescent="0.35">
      <c r="A61" s="5" t="s">
        <v>102</v>
      </c>
      <c r="B61" s="22">
        <f>B60*((1-(1+B5)^(-B57))/B5)</f>
        <v>3586.4111357355619</v>
      </c>
      <c r="C61" s="1" t="s">
        <v>112</v>
      </c>
    </row>
    <row r="62" spans="1:3" ht="15" customHeight="1" x14ac:dyDescent="0.35">
      <c r="A62" s="5" t="s">
        <v>104</v>
      </c>
      <c r="B62" s="22">
        <f>B61/(1+B5)^(B9-B10)</f>
        <v>1722.6197154863219</v>
      </c>
      <c r="C62" s="1" t="s">
        <v>113</v>
      </c>
    </row>
    <row r="63" spans="1:3" ht="15" customHeight="1" x14ac:dyDescent="0.35">
      <c r="A63" s="5" t="s">
        <v>106</v>
      </c>
      <c r="B63" s="31">
        <f>B43</f>
        <v>0.18742500000000001</v>
      </c>
      <c r="C63" s="29"/>
    </row>
    <row r="64" spans="1:3" ht="15" customHeight="1" x14ac:dyDescent="0.35">
      <c r="A64" s="32" t="s">
        <v>114</v>
      </c>
      <c r="B64" s="33">
        <f>B62*B63</f>
        <v>322.86200017502387</v>
      </c>
      <c r="C64" s="29"/>
    </row>
    <row r="65" spans="1:3" ht="15" customHeight="1" x14ac:dyDescent="0.35">
      <c r="A65" s="5"/>
      <c r="B65" s="34"/>
      <c r="C65" s="29"/>
    </row>
    <row r="66" spans="1:3" ht="15" customHeight="1" x14ac:dyDescent="0.35">
      <c r="A66" s="27" t="s">
        <v>115</v>
      </c>
      <c r="B66" s="34"/>
      <c r="C66" s="29"/>
    </row>
    <row r="67" spans="1:3" ht="15" customHeight="1" x14ac:dyDescent="0.35">
      <c r="A67" s="5" t="s">
        <v>116</v>
      </c>
      <c r="B67" s="21">
        <v>-25</v>
      </c>
      <c r="C67" s="1" t="s">
        <v>117</v>
      </c>
    </row>
    <row r="68" spans="1:3" ht="15" customHeight="1" x14ac:dyDescent="0.35">
      <c r="A68" s="5" t="s">
        <v>118</v>
      </c>
      <c r="B68" s="35">
        <f>-55*B21*B22</f>
        <v>-24.75</v>
      </c>
      <c r="C68" s="1" t="s">
        <v>119</v>
      </c>
    </row>
    <row r="69" spans="1:3" ht="15" customHeight="1" x14ac:dyDescent="0.35">
      <c r="A69" s="5" t="s">
        <v>120</v>
      </c>
      <c r="B69" s="21">
        <v>-12</v>
      </c>
      <c r="C69" s="1" t="s">
        <v>121</v>
      </c>
    </row>
    <row r="70" spans="1:3" ht="15" customHeight="1" x14ac:dyDescent="0.35">
      <c r="A70" s="5" t="s">
        <v>122</v>
      </c>
      <c r="B70" s="35">
        <f>-40*B39*B40</f>
        <v>-11.899999999999999</v>
      </c>
      <c r="C70" s="1" t="s">
        <v>123</v>
      </c>
    </row>
    <row r="71" spans="1:3" ht="15" customHeight="1" x14ac:dyDescent="0.35">
      <c r="A71" s="5" t="s">
        <v>124</v>
      </c>
      <c r="B71" s="21">
        <v>-42</v>
      </c>
      <c r="C71" s="1" t="s">
        <v>125</v>
      </c>
    </row>
    <row r="72" spans="1:3" ht="15" customHeight="1" x14ac:dyDescent="0.35">
      <c r="A72" s="5" t="s">
        <v>126</v>
      </c>
      <c r="B72" s="35">
        <f>(B67+B68+B69+B70+B71)/(1+B5)^2.5</f>
        <v>-85.201948804575963</v>
      </c>
      <c r="C72" s="1" t="s">
        <v>127</v>
      </c>
    </row>
    <row r="73" spans="1:3" ht="15" customHeight="1" x14ac:dyDescent="0.35">
      <c r="A73" s="5"/>
      <c r="B73" s="34"/>
      <c r="C73" s="29"/>
    </row>
    <row r="74" spans="1:3" ht="15" customHeight="1" x14ac:dyDescent="0.35">
      <c r="A74" s="11" t="s">
        <v>128</v>
      </c>
      <c r="B74" s="36">
        <f>B54+B64</f>
        <v>428.06561622742441</v>
      </c>
      <c r="C74" s="29"/>
    </row>
    <row r="75" spans="1:3" ht="15" customHeight="1" x14ac:dyDescent="0.35">
      <c r="A75" s="11" t="s">
        <v>129</v>
      </c>
      <c r="B75" s="36">
        <f>B72</f>
        <v>-85.201948804575963</v>
      </c>
      <c r="C75" s="29"/>
    </row>
    <row r="76" spans="1:3" ht="17.25" customHeight="1" x14ac:dyDescent="0.35">
      <c r="A76" s="11" t="s">
        <v>130</v>
      </c>
      <c r="B76" s="36">
        <f>B74+B75</f>
        <v>342.86366742284844</v>
      </c>
      <c r="C76" s="1" t="s">
        <v>131</v>
      </c>
    </row>
    <row r="77" spans="1:3" ht="15" customHeight="1" x14ac:dyDescent="0.35">
      <c r="A77" s="5"/>
      <c r="B77" s="29"/>
      <c r="C77" s="29"/>
    </row>
    <row r="78" spans="1:3" ht="15" customHeight="1" x14ac:dyDescent="0.35">
      <c r="A78" s="27" t="s">
        <v>132</v>
      </c>
      <c r="B78" s="37"/>
      <c r="C78" s="29"/>
    </row>
    <row r="79" spans="1:3" ht="15" customHeight="1" x14ac:dyDescent="0.35">
      <c r="A79" s="5" t="s">
        <v>133</v>
      </c>
      <c r="B79" s="18">
        <v>0.25</v>
      </c>
      <c r="C79" s="1"/>
    </row>
    <row r="80" spans="1:3" ht="15" customHeight="1" x14ac:dyDescent="0.35">
      <c r="A80" s="5" t="s">
        <v>134</v>
      </c>
      <c r="B80" s="35">
        <f>MAX(0,B76)*B79</f>
        <v>85.715916855712109</v>
      </c>
      <c r="C80" s="1" t="s">
        <v>135</v>
      </c>
    </row>
    <row r="81" spans="1:3" ht="17.25" customHeight="1" x14ac:dyDescent="0.35">
      <c r="A81" s="5" t="s">
        <v>136</v>
      </c>
      <c r="B81" s="21">
        <v>50</v>
      </c>
      <c r="C81" s="1" t="s">
        <v>137</v>
      </c>
    </row>
    <row r="82" spans="1:3" ht="15" customHeight="1" x14ac:dyDescent="0.35">
      <c r="A82" s="5"/>
      <c r="B82" s="37"/>
      <c r="C82" s="29"/>
    </row>
    <row r="83" spans="1:3" ht="15" customHeight="1" x14ac:dyDescent="0.35">
      <c r="A83" s="27" t="s">
        <v>138</v>
      </c>
      <c r="B83" s="37"/>
      <c r="C83" s="29"/>
    </row>
    <row r="84" spans="1:3" ht="15" customHeight="1" x14ac:dyDescent="0.35">
      <c r="A84" s="5" t="s">
        <v>139</v>
      </c>
      <c r="B84" s="21">
        <v>205.7</v>
      </c>
      <c r="C84" s="1" t="s">
        <v>140</v>
      </c>
    </row>
    <row r="85" spans="1:3" ht="15" customHeight="1" x14ac:dyDescent="0.35">
      <c r="A85" s="5" t="s">
        <v>141</v>
      </c>
      <c r="B85" s="21">
        <v>-5</v>
      </c>
      <c r="C85" s="29"/>
    </row>
    <row r="86" spans="1:3" ht="15" customHeight="1" x14ac:dyDescent="0.35">
      <c r="A86" s="32" t="s">
        <v>142</v>
      </c>
      <c r="B86" s="38">
        <f>B84+B85</f>
        <v>200.7</v>
      </c>
      <c r="C86" s="1" t="s">
        <v>143</v>
      </c>
    </row>
    <row r="87" spans="1:3" ht="15" customHeight="1" x14ac:dyDescent="0.35">
      <c r="A87" s="5"/>
      <c r="B87" s="29"/>
      <c r="C87" s="29"/>
    </row>
    <row r="88" spans="1:3" ht="15" customHeight="1" x14ac:dyDescent="0.35">
      <c r="A88" s="14" t="s">
        <v>144</v>
      </c>
      <c r="B88" s="39">
        <f>B76+B80+B81+B86</f>
        <v>679.27958427856061</v>
      </c>
      <c r="C88" s="40" t="s">
        <v>145</v>
      </c>
    </row>
    <row r="89" spans="1:3" ht="15" customHeight="1" x14ac:dyDescent="0.35">
      <c r="A89" s="29"/>
      <c r="B89" s="37"/>
      <c r="C89" s="29"/>
    </row>
    <row r="90" spans="1:3" ht="15" customHeight="1" x14ac:dyDescent="0.35">
      <c r="A90" s="7" t="s">
        <v>146</v>
      </c>
      <c r="B90" s="41"/>
      <c r="C90" s="26"/>
    </row>
    <row r="91" spans="1:3" ht="15" customHeight="1" x14ac:dyDescent="0.35">
      <c r="A91" s="5" t="s">
        <v>147</v>
      </c>
      <c r="B91" s="42">
        <f>'Diluted Shares'!B24</f>
        <v>236262162</v>
      </c>
      <c r="C91" s="29"/>
    </row>
    <row r="92" spans="1:3" ht="15" customHeight="1" x14ac:dyDescent="0.4">
      <c r="A92" s="43" t="s">
        <v>148</v>
      </c>
      <c r="B92" s="44">
        <f>B88*1000000/B91</f>
        <v>2.8751094907806718</v>
      </c>
      <c r="C92" s="29"/>
    </row>
    <row r="93" spans="1:3" ht="15" customHeight="1" x14ac:dyDescent="0.35">
      <c r="A93" s="29"/>
      <c r="B93" s="29"/>
      <c r="C93" s="29"/>
    </row>
    <row r="94" spans="1:3" ht="15" customHeight="1" x14ac:dyDescent="0.35">
      <c r="A94" s="5" t="s">
        <v>149</v>
      </c>
      <c r="B94" s="45">
        <v>1.69</v>
      </c>
      <c r="C94" s="29"/>
    </row>
    <row r="95" spans="1:3" ht="15" customHeight="1" x14ac:dyDescent="0.35">
      <c r="A95" s="5" t="s">
        <v>150</v>
      </c>
      <c r="B95" s="24">
        <f>(B92-B94)/B94</f>
        <v>0.70124821939684723</v>
      </c>
      <c r="C95" s="29"/>
    </row>
    <row r="96" spans="1:3" ht="15" customHeight="1" x14ac:dyDescent="0.35">
      <c r="A96" s="29"/>
      <c r="B96" s="29"/>
      <c r="C96" s="29"/>
    </row>
    <row r="97" spans="1:3" ht="15" customHeight="1" x14ac:dyDescent="0.35">
      <c r="A97" s="5" t="s">
        <v>151</v>
      </c>
      <c r="B97" s="10">
        <v>12</v>
      </c>
      <c r="C97" s="1" t="s">
        <v>152</v>
      </c>
    </row>
    <row r="98" spans="1:3" ht="15" customHeight="1" x14ac:dyDescent="0.35">
      <c r="A98" s="29"/>
      <c r="B98" s="29"/>
      <c r="C98" s="29"/>
    </row>
    <row r="99" spans="1:3" ht="15" customHeight="1" x14ac:dyDescent="0.35">
      <c r="A99" s="7" t="s">
        <v>153</v>
      </c>
      <c r="B99" s="46"/>
      <c r="C99" s="46"/>
    </row>
    <row r="100" spans="1:3" ht="15" customHeight="1" x14ac:dyDescent="0.35">
      <c r="A100" s="5" t="s">
        <v>154</v>
      </c>
      <c r="B100" s="47">
        <f>B86*1000000/B91</f>
        <v>0.8494800788287038</v>
      </c>
      <c r="C100" s="1" t="s">
        <v>155</v>
      </c>
    </row>
    <row r="101" spans="1:3" ht="15" customHeight="1" x14ac:dyDescent="0.35">
      <c r="A101" s="5" t="s">
        <v>156</v>
      </c>
      <c r="B101" s="47">
        <f>B76*1000000/B91</f>
        <v>1.451200075883706</v>
      </c>
      <c r="C101" s="1" t="s">
        <v>157</v>
      </c>
    </row>
    <row r="102" spans="1:3" ht="15" customHeight="1" x14ac:dyDescent="0.35">
      <c r="A102" s="5" t="s">
        <v>158</v>
      </c>
      <c r="B102" s="47">
        <f>(B79+B81)*1000000/B91</f>
        <v>0.21268746368282196</v>
      </c>
      <c r="C102" s="1" t="s">
        <v>159</v>
      </c>
    </row>
    <row r="103" spans="1:3" ht="15" customHeight="1" x14ac:dyDescent="0.35">
      <c r="A103" s="48" t="s">
        <v>160</v>
      </c>
      <c r="B103" s="49">
        <f>B92</f>
        <v>2.8751094907806718</v>
      </c>
      <c r="C103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9"/>
  <sheetViews>
    <sheetView tabSelected="1" zoomScaleNormal="100" workbookViewId="0">
      <selection activeCell="A33" sqref="A33"/>
    </sheetView>
  </sheetViews>
  <sheetFormatPr defaultColWidth="8.6328125" defaultRowHeight="14.5" x14ac:dyDescent="0.35"/>
  <cols>
    <col min="1" max="1" width="22" customWidth="1"/>
    <col min="2" max="8" width="14" customWidth="1"/>
  </cols>
  <sheetData>
    <row r="1" spans="1:11" ht="15" customHeight="1" x14ac:dyDescent="0.35">
      <c r="A1" s="50" t="s">
        <v>161</v>
      </c>
      <c r="B1" s="51"/>
      <c r="C1" s="51"/>
      <c r="D1" s="51"/>
      <c r="E1" s="51"/>
      <c r="F1" s="51"/>
      <c r="G1" s="51"/>
      <c r="H1" s="51"/>
      <c r="I1" s="51"/>
      <c r="J1" s="51"/>
      <c r="K1" s="51"/>
    </row>
    <row r="2" spans="1:11" ht="15" customHeight="1" x14ac:dyDescent="0.3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ht="14.25" customHeight="1" x14ac:dyDescent="0.35">
      <c r="A3" s="52" t="s">
        <v>162</v>
      </c>
      <c r="B3" s="53"/>
      <c r="C3" s="53"/>
      <c r="D3" s="53"/>
      <c r="E3" s="51"/>
      <c r="F3" s="51"/>
      <c r="G3" s="51"/>
      <c r="H3" s="51"/>
      <c r="I3" s="51"/>
      <c r="J3" s="51"/>
      <c r="K3" s="51"/>
    </row>
    <row r="4" spans="1:11" ht="15" customHeight="1" x14ac:dyDescent="0.35">
      <c r="A4" s="54" t="s">
        <v>163</v>
      </c>
      <c r="B4" s="55">
        <f>'rNPV Model'!B5</f>
        <v>0.13</v>
      </c>
      <c r="C4" s="56" t="s">
        <v>164</v>
      </c>
      <c r="D4" s="55">
        <f>'rNPV Model'!B14</f>
        <v>0.06</v>
      </c>
      <c r="E4" s="57"/>
      <c r="F4" s="57"/>
      <c r="G4" s="57"/>
      <c r="H4" s="51"/>
      <c r="I4" s="51"/>
      <c r="J4" s="51"/>
      <c r="K4" s="51"/>
    </row>
    <row r="5" spans="1:11" ht="15" customHeight="1" x14ac:dyDescent="0.35">
      <c r="A5" s="56" t="s">
        <v>165</v>
      </c>
      <c r="B5" s="55">
        <f>'rNPV Model'!B25</f>
        <v>0.28350000000000003</v>
      </c>
      <c r="C5" s="58" t="s">
        <v>166</v>
      </c>
      <c r="D5" s="55">
        <f>'rNPV Model'!B43</f>
        <v>0.18742500000000001</v>
      </c>
      <c r="E5" s="59"/>
      <c r="F5" s="59"/>
      <c r="G5" s="59"/>
      <c r="H5" s="51"/>
      <c r="I5" s="51"/>
      <c r="J5" s="51"/>
      <c r="K5" s="51"/>
    </row>
    <row r="6" spans="1:11" ht="15" customHeight="1" x14ac:dyDescent="0.35">
      <c r="A6" s="56" t="s">
        <v>147</v>
      </c>
      <c r="B6" s="60">
        <f>'rNPV Model'!B91</f>
        <v>236262162</v>
      </c>
      <c r="C6" s="58" t="s">
        <v>167</v>
      </c>
      <c r="D6" s="61">
        <f>'rNPV Model'!B86</f>
        <v>200.7</v>
      </c>
      <c r="E6" s="59"/>
      <c r="F6" s="59"/>
      <c r="G6" s="59"/>
      <c r="H6" s="51"/>
      <c r="I6" s="51"/>
      <c r="J6" s="51"/>
      <c r="K6" s="51"/>
    </row>
    <row r="7" spans="1:11" ht="15" customHeight="1" x14ac:dyDescent="0.35">
      <c r="A7" s="56" t="s">
        <v>168</v>
      </c>
      <c r="B7" s="61">
        <f>'rNPV Model'!B81</f>
        <v>50</v>
      </c>
      <c r="C7" s="58" t="s">
        <v>169</v>
      </c>
      <c r="D7" s="62">
        <f>'rNPV Model'!B79</f>
        <v>0.25</v>
      </c>
      <c r="E7" s="59"/>
      <c r="F7" s="59"/>
      <c r="G7" s="59"/>
      <c r="H7" s="51"/>
      <c r="I7" s="51"/>
      <c r="J7" s="51"/>
      <c r="K7" s="51"/>
    </row>
    <row r="8" spans="1:11" ht="15" customHeight="1" x14ac:dyDescent="0.35">
      <c r="A8" s="63" t="s">
        <v>170</v>
      </c>
      <c r="B8" s="64">
        <f>'rNPV Model'!B92</f>
        <v>2.8751094907806718</v>
      </c>
      <c r="C8" s="58" t="s">
        <v>171</v>
      </c>
      <c r="D8" s="65">
        <f>'rNPV Model'!B94</f>
        <v>1.69</v>
      </c>
      <c r="E8" s="59"/>
      <c r="F8" s="59"/>
      <c r="G8" s="59"/>
      <c r="H8" s="51"/>
      <c r="I8" s="51"/>
      <c r="J8" s="51"/>
      <c r="K8" s="51"/>
    </row>
    <row r="9" spans="1:11" ht="15" customHeight="1" x14ac:dyDescent="0.35">
      <c r="A9" s="57"/>
      <c r="B9" s="59"/>
      <c r="C9" s="59"/>
      <c r="D9" s="59"/>
      <c r="E9" s="59"/>
      <c r="F9" s="59"/>
      <c r="G9" s="59"/>
      <c r="H9" s="51"/>
      <c r="I9" s="51"/>
      <c r="J9" s="51"/>
      <c r="K9" s="51"/>
    </row>
    <row r="10" spans="1:11" ht="14.25" customHeight="1" x14ac:dyDescent="0.35">
      <c r="A10" s="52" t="s">
        <v>172</v>
      </c>
      <c r="B10" s="53"/>
      <c r="C10" s="53"/>
      <c r="D10" s="53"/>
      <c r="E10" s="53"/>
      <c r="F10" s="53"/>
      <c r="G10" s="53"/>
      <c r="H10" s="51"/>
      <c r="I10" s="51"/>
      <c r="J10" s="51"/>
      <c r="K10" s="51"/>
    </row>
    <row r="11" spans="1:11" ht="15" customHeight="1" x14ac:dyDescent="0.35">
      <c r="A11" s="66" t="s">
        <v>173</v>
      </c>
      <c r="B11" s="67">
        <v>0.02</v>
      </c>
      <c r="C11" s="67">
        <v>0.04</v>
      </c>
      <c r="D11" s="67">
        <v>0.06</v>
      </c>
      <c r="E11" s="67">
        <v>0.08</v>
      </c>
      <c r="F11" s="67">
        <v>0.1</v>
      </c>
      <c r="G11" s="68"/>
      <c r="H11" s="51"/>
      <c r="I11" s="51"/>
      <c r="J11" s="51"/>
      <c r="K11" s="51"/>
    </row>
    <row r="12" spans="1:11" ht="15" customHeight="1" x14ac:dyDescent="0.35">
      <c r="A12" s="56">
        <v>0.11</v>
      </c>
      <c r="B12" s="65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2.861489965815577</v>
      </c>
      <c r="C12" s="65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3.0816619026742336</v>
      </c>
      <c r="D12" s="65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3.3018338395328892</v>
      </c>
      <c r="E12" s="65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3.5220057763915449</v>
      </c>
      <c r="F12" s="65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3.7421777132502019</v>
      </c>
      <c r="G12" s="69"/>
      <c r="H12" s="51"/>
      <c r="I12" s="51"/>
      <c r="J12" s="51"/>
      <c r="K12" s="51"/>
    </row>
    <row r="13" spans="1:11" ht="15" customHeight="1" x14ac:dyDescent="0.35">
      <c r="A13" s="56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2.6729509331043224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2.8749240977426038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3.0768972623808852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3.2788704270191666</v>
      </c>
      <c r="F13" s="65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3.4808435916574476</v>
      </c>
      <c r="G13" s="69"/>
      <c r="H13" s="51"/>
      <c r="I13" s="51"/>
      <c r="J13" s="51"/>
      <c r="K13" s="51"/>
    </row>
    <row r="14" spans="1:11" ht="15" customHeight="1" x14ac:dyDescent="0.35">
      <c r="A14" s="56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2.5040400004250092</v>
      </c>
      <c r="C14" s="70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2.6895747456028398</v>
      </c>
      <c r="D14" s="7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2.8751094907806718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3.0606442359585033</v>
      </c>
      <c r="F14" s="65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3.2461789811363349</v>
      </c>
      <c r="G14" s="69"/>
      <c r="H14" s="51"/>
      <c r="I14" s="51"/>
      <c r="J14" s="51"/>
      <c r="K14" s="51"/>
    </row>
    <row r="15" spans="1:11" ht="15" customHeight="1" x14ac:dyDescent="0.35">
      <c r="A15" s="56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2.3525345622744225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2.5231982586464867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2.693861955018551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2.8645256513906148</v>
      </c>
      <c r="F15" s="65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3.0351893477626799</v>
      </c>
      <c r="G15" s="69"/>
      <c r="H15" s="51"/>
      <c r="I15" s="51"/>
      <c r="J15" s="51"/>
      <c r="K15" s="51"/>
    </row>
    <row r="16" spans="1:11" ht="15" customHeight="1" x14ac:dyDescent="0.35">
      <c r="A16" s="51"/>
      <c r="B16" s="57"/>
      <c r="C16" s="57"/>
      <c r="D16" s="57"/>
      <c r="E16" s="57"/>
      <c r="F16" s="72"/>
      <c r="G16" s="72"/>
      <c r="H16" s="51"/>
      <c r="I16" s="51"/>
      <c r="J16" s="51"/>
      <c r="K16" s="51"/>
    </row>
    <row r="17" spans="1:13" ht="15" customHeight="1" x14ac:dyDescent="0.35">
      <c r="A17" s="51"/>
      <c r="B17" s="57"/>
      <c r="C17" s="57"/>
      <c r="D17" s="57"/>
      <c r="E17" s="57"/>
      <c r="F17" s="72"/>
      <c r="G17" s="72"/>
      <c r="H17" s="51"/>
      <c r="I17" s="51"/>
      <c r="J17" s="51"/>
      <c r="K17" s="51"/>
    </row>
    <row r="18" spans="1:13" ht="15" customHeight="1" x14ac:dyDescent="0.35">
      <c r="A18" s="52" t="s">
        <v>174</v>
      </c>
      <c r="B18" s="73"/>
      <c r="C18" s="74"/>
      <c r="D18" s="74"/>
      <c r="E18" s="73"/>
      <c r="F18" s="73"/>
      <c r="G18" s="75"/>
      <c r="H18" s="75"/>
      <c r="I18" s="53"/>
      <c r="J18" s="53"/>
      <c r="K18" s="51"/>
      <c r="L18" s="51"/>
      <c r="M18" s="51"/>
    </row>
    <row r="19" spans="1:13" ht="14.25" customHeight="1" x14ac:dyDescent="0.35">
      <c r="A19" s="76" t="s">
        <v>175</v>
      </c>
      <c r="B19" s="76" t="s">
        <v>176</v>
      </c>
      <c r="C19" s="76" t="s">
        <v>165</v>
      </c>
      <c r="D19" s="76" t="s">
        <v>177</v>
      </c>
      <c r="E19" s="76" t="s">
        <v>166</v>
      </c>
      <c r="F19" s="76" t="s">
        <v>178</v>
      </c>
      <c r="G19" s="76" t="s">
        <v>163</v>
      </c>
      <c r="H19" s="76" t="s">
        <v>179</v>
      </c>
      <c r="I19" s="76" t="s">
        <v>180</v>
      </c>
      <c r="J19" s="76" t="s">
        <v>181</v>
      </c>
      <c r="K19" s="51"/>
      <c r="L19" s="51"/>
      <c r="M19" s="51"/>
    </row>
    <row r="20" spans="1:13" ht="14.25" customHeight="1" x14ac:dyDescent="0.35">
      <c r="A20" s="54" t="s">
        <v>182</v>
      </c>
      <c r="B20" s="62">
        <v>0.05</v>
      </c>
      <c r="C20" s="55">
        <v>0.28399999999999997</v>
      </c>
      <c r="D20" s="80">
        <v>0</v>
      </c>
      <c r="E20" s="55">
        <v>0</v>
      </c>
      <c r="F20" s="61">
        <v>30</v>
      </c>
      <c r="G20" s="62">
        <v>0.13</v>
      </c>
      <c r="H20" s="61">
        <v>-24</v>
      </c>
      <c r="I20" s="77">
        <f>(('rNPV Model'!B13*B20*'rNPV Model'!B16*'rNPV Model'!B18*((1-(1+G20)^(-'rNPV Model'!B47))/G20)/(1+G20)^('rNPV Model'!B8-'rNPV Model'!B10)*C20)+(('rNPV Model'!B28*'rNPV Model'!B29*D20/1000000*(1+'rNPV Model'!B32)*'rNPV Model'!B34*'rNPV Model'!B36)*((1-(1+G20)^(-'rNPV Model'!B57))/G20)/(1+G20)^('rNPV Model'!B9-'rNPV Model'!B10)*E20)+(('rNPV Model'!B67+'rNPV Model'!B68+'rNPV Model'!B69+'rNPV Model'!B70+'rNPV Model'!B71+H20)/(1+G20)^2.5)+MAX(0,('rNPV Model'!B13*B20*'rNPV Model'!B16*'rNPV Model'!B18*((1-(1+G20)^(-'rNPV Model'!B47))/G20)/(1+G20)^('rNPV Model'!B8-'rNPV Model'!B10)*C20)+(('rNPV Model'!B28*'rNPV Model'!B29*D20/1000000*(1+'rNPV Model'!B32)*'rNPV Model'!B34*'rNPV Model'!B36)*((1-(1+G20)^(-'rNPV Model'!B57))/G20)/(1+G20)^('rNPV Model'!B9-'rNPV Model'!B10)*E20)+(('rNPV Model'!B67+'rNPV Model'!B68+'rNPV Model'!B69+'rNPV Model'!B70+'rNPV Model'!B71+H20)/(1+G20)^2.5))*'rNPV Model'!B79+F20+'rNPV Model'!B86)*1000000/'rNPV Model'!B91</f>
        <v>0.91271920728787104</v>
      </c>
      <c r="J20" s="1" t="s">
        <v>183</v>
      </c>
      <c r="K20" s="51"/>
      <c r="L20" s="51"/>
      <c r="M20" s="51"/>
    </row>
    <row r="21" spans="1:13" ht="14.25" customHeight="1" x14ac:dyDescent="0.35">
      <c r="A21" s="54" t="s">
        <v>184</v>
      </c>
      <c r="B21" s="62">
        <f>'rNPV Model'!B14</f>
        <v>0.06</v>
      </c>
      <c r="C21" s="55">
        <f>'rNPV Model'!B25</f>
        <v>0.28350000000000003</v>
      </c>
      <c r="D21" s="55">
        <f>'rNPV Model'!B30</f>
        <v>0.16</v>
      </c>
      <c r="E21" s="55">
        <f>'rNPV Model'!B43</f>
        <v>0.18742500000000001</v>
      </c>
      <c r="F21" s="61">
        <v>50</v>
      </c>
      <c r="G21" s="62">
        <f>'rNPV Model'!B5</f>
        <v>0.13</v>
      </c>
      <c r="H21" s="61">
        <v>0</v>
      </c>
      <c r="I21" s="78">
        <f>(('rNPV Model'!B13*B21*'rNPV Model'!B16*'rNPV Model'!B18*((1-(1+G21)^(-'rNPV Model'!B47))/G21)/(1+G21)^('rNPV Model'!B8-'rNPV Model'!B10)*C21)+(('rNPV Model'!B28*'rNPV Model'!B29*D21/1000000*(1+'rNPV Model'!B32)*'rNPV Model'!B34*'rNPV Model'!B36)*((1-(1+G21)^(-'rNPV Model'!B57))/G21)/(1+G21)^('rNPV Model'!B9-'rNPV Model'!B10)*E21)+(('rNPV Model'!B67+'rNPV Model'!B68+'rNPV Model'!B69+'rNPV Model'!B70+'rNPV Model'!B71+H21)/(1+G21)^2.5)+MAX(0,('rNPV Model'!B13*B21*'rNPV Model'!B16*'rNPV Model'!B18*((1-(1+G21)^(-'rNPV Model'!B47))/G21)/(1+G21)^('rNPV Model'!B8-'rNPV Model'!B10)*C21)+(('rNPV Model'!B28*'rNPV Model'!B29*D21/1000000*(1+'rNPV Model'!B32)*'rNPV Model'!B34*'rNPV Model'!B36)*((1-(1+G21)^(-'rNPV Model'!B57))/G21)/(1+G21)^('rNPV Model'!B9-'rNPV Model'!B10)*E21)+(('rNPV Model'!B67+'rNPV Model'!B68+'rNPV Model'!B69+'rNPV Model'!B70+'rNPV Model'!B71+H21)/(1+G21)^2.5))*'rNPV Model'!B79+F21+'rNPV Model'!B86)*1000000/'rNPV Model'!B91</f>
        <v>2.8751094907806718</v>
      </c>
      <c r="J21" s="1"/>
      <c r="K21" s="51"/>
      <c r="L21" s="51"/>
      <c r="M21" s="51"/>
    </row>
    <row r="22" spans="1:13" ht="14.25" customHeight="1" x14ac:dyDescent="0.35">
      <c r="A22" s="54" t="s">
        <v>185</v>
      </c>
      <c r="B22" s="62">
        <v>0.06</v>
      </c>
      <c r="C22" s="55">
        <v>0.32</v>
      </c>
      <c r="D22" s="80">
        <v>0.16</v>
      </c>
      <c r="E22" s="55">
        <v>0.221</v>
      </c>
      <c r="F22" s="61">
        <v>75</v>
      </c>
      <c r="G22" s="62">
        <v>0.13</v>
      </c>
      <c r="H22" s="61">
        <v>0</v>
      </c>
      <c r="I22" s="77">
        <f>(('rNPV Model'!B13*B22*'rNPV Model'!B16*'rNPV Model'!B18*((1-(1+G22)^(-'rNPV Model'!B47))/G22)/(1+G22)^('rNPV Model'!B8-'rNPV Model'!B10)*C22)+(('rNPV Model'!B28*'rNPV Model'!B29*D22/1000000*(1+'rNPV Model'!B32)*'rNPV Model'!B34*'rNPV Model'!B36)*((1-(1+G22)^(-'rNPV Model'!B57))/G22)/(1+G22)^('rNPV Model'!B9-'rNPV Model'!B10)*E22)+(('rNPV Model'!B67+'rNPV Model'!B68+'rNPV Model'!B69+'rNPV Model'!B70+'rNPV Model'!B71+H22)/(1+G22)^2.5)+MAX(0,('rNPV Model'!B13*B22*'rNPV Model'!B16*'rNPV Model'!B18*((1-(1+G22)^(-'rNPV Model'!B47))/G22)/(1+G22)^('rNPV Model'!B8-'rNPV Model'!B10)*C22)+(('rNPV Model'!B28*'rNPV Model'!B29*D22/1000000*(1+'rNPV Model'!B32)*'rNPV Model'!B34*'rNPV Model'!B36)*((1-(1+G22)^(-'rNPV Model'!B57))/G22)/(1+G22)^('rNPV Model'!B9-'rNPV Model'!B10)*E22)+(('rNPV Model'!B67+'rNPV Model'!B68+'rNPV Model'!B69+'rNPV Model'!B70+'rNPV Model'!B71+H22)/(1+G22)^2.5))*'rNPV Model'!B79+F22+'rNPV Model'!B86)*1000000/'rNPV Model'!B91</f>
        <v>3.3585856101170659</v>
      </c>
      <c r="J22" s="1" t="s">
        <v>186</v>
      </c>
      <c r="K22" s="51"/>
      <c r="L22" s="51"/>
      <c r="M22" s="51"/>
    </row>
    <row r="23" spans="1:13" ht="14.25" customHeight="1" x14ac:dyDescent="0.35">
      <c r="A23" s="54" t="s">
        <v>187</v>
      </c>
      <c r="B23" s="62">
        <v>0.08</v>
      </c>
      <c r="C23" s="55">
        <v>0.38</v>
      </c>
      <c r="D23" s="80">
        <v>0.24</v>
      </c>
      <c r="E23" s="55">
        <v>0.315</v>
      </c>
      <c r="F23" s="61">
        <v>150</v>
      </c>
      <c r="G23" s="62">
        <v>0.12</v>
      </c>
      <c r="H23" s="61">
        <v>0</v>
      </c>
      <c r="I23" s="77">
        <f>(('rNPV Model'!B13*B23*'rNPV Model'!B16*'rNPV Model'!B18*((1-(1+G23)^(-'rNPV Model'!B47))/G23)/(1+G23)^('rNPV Model'!B8-'rNPV Model'!B10)*C23)+(('rNPV Model'!B28*'rNPV Model'!B29*D23/1000000*(1+'rNPV Model'!B32)*'rNPV Model'!B34*'rNPV Model'!B36)*((1-(1+G23)^(-'rNPV Model'!B57))/G23)/(1+G23)^('rNPV Model'!B9-'rNPV Model'!B10)*E23)+(('rNPV Model'!B67+'rNPV Model'!B68+'rNPV Model'!B69+'rNPV Model'!B70+'rNPV Model'!B71+H23)/(1+G23)^2.5)+MAX(0,('rNPV Model'!B13*B23*'rNPV Model'!B16*'rNPV Model'!B18*((1-(1+G23)^(-'rNPV Model'!B47))/G23)/(1+G23)^('rNPV Model'!B8-'rNPV Model'!B10)*C23)+(('rNPV Model'!B28*'rNPV Model'!B29*D23/1000000*(1+'rNPV Model'!B32)*'rNPV Model'!B34*'rNPV Model'!B36)*((1-(1+G23)^(-'rNPV Model'!B57))/G23)/(1+G23)^('rNPV Model'!B9-'rNPV Model'!B10)*E23)+(('rNPV Model'!B67+'rNPV Model'!B68+'rNPV Model'!B69+'rNPV Model'!B70+'rNPV Model'!B71+H23)/(1+G23)^2.5))*'rNPV Model'!B79+F23+'rNPV Model'!B86)*1000000/'rNPV Model'!B91</f>
        <v>6.8225961249146412</v>
      </c>
      <c r="J23" s="1" t="s">
        <v>188</v>
      </c>
      <c r="K23" s="51"/>
      <c r="L23" s="51"/>
      <c r="M23" s="51"/>
    </row>
    <row r="24" spans="1:13" ht="14.25" customHeight="1" x14ac:dyDescent="0.35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</row>
    <row r="25" spans="1:13" ht="14.25" customHeight="1" x14ac:dyDescent="0.35">
      <c r="A25" s="79" t="s">
        <v>189</v>
      </c>
      <c r="B25" s="51"/>
      <c r="C25" s="51"/>
      <c r="D25" s="51"/>
      <c r="E25" s="51"/>
      <c r="F25" s="51"/>
      <c r="G25" s="51"/>
      <c r="H25" s="51"/>
      <c r="I25" s="51"/>
      <c r="J25" s="51"/>
      <c r="K25" s="51"/>
    </row>
    <row r="26" spans="1:13" ht="14.25" customHeight="1" x14ac:dyDescent="0.35">
      <c r="A26" s="1" t="s">
        <v>190</v>
      </c>
      <c r="B26" s="51"/>
      <c r="C26" s="51"/>
      <c r="D26" s="51"/>
      <c r="E26" s="51"/>
      <c r="F26" s="51"/>
      <c r="G26" s="51"/>
      <c r="H26" s="51"/>
      <c r="I26" s="51"/>
      <c r="J26" s="51"/>
      <c r="K26" s="51"/>
    </row>
    <row r="27" spans="1:13" ht="14.25" customHeight="1" x14ac:dyDescent="0.35">
      <c r="A27" s="1" t="s">
        <v>191</v>
      </c>
      <c r="B27" s="51"/>
      <c r="C27" s="51"/>
      <c r="D27" s="51"/>
      <c r="E27" s="51"/>
      <c r="F27" s="51"/>
      <c r="G27" s="51"/>
      <c r="H27" s="51"/>
      <c r="I27" s="51"/>
      <c r="J27" s="51"/>
      <c r="K27" s="51"/>
    </row>
    <row r="28" spans="1:13" ht="14.25" customHeight="1" x14ac:dyDescent="0.35">
      <c r="A28" s="1" t="s">
        <v>192</v>
      </c>
      <c r="B28" s="51"/>
      <c r="C28" s="51"/>
      <c r="D28" s="51"/>
      <c r="E28" s="51"/>
      <c r="F28" s="51"/>
      <c r="G28" s="51"/>
      <c r="H28" s="51"/>
      <c r="I28" s="51"/>
      <c r="J28" s="51"/>
      <c r="K28" s="51"/>
    </row>
    <row r="29" spans="1:13" ht="14.25" customHeight="1" x14ac:dyDescent="0.35">
      <c r="A29" s="1" t="s">
        <v>195</v>
      </c>
      <c r="B29" s="51"/>
      <c r="C29" s="51"/>
      <c r="D29" s="51"/>
      <c r="E29" s="51"/>
      <c r="F29" s="51"/>
      <c r="G29" s="51"/>
      <c r="H29" s="51"/>
      <c r="I29" s="51"/>
      <c r="J29" s="51"/>
      <c r="K29" s="51"/>
    </row>
    <row r="30" spans="1:13" ht="14.25" customHeight="1" x14ac:dyDescent="0.35">
      <c r="A30" s="1" t="s">
        <v>193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</row>
    <row r="31" spans="1:13" ht="14.25" customHeight="1" x14ac:dyDescent="0.35">
      <c r="A31" s="1" t="s">
        <v>194</v>
      </c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32" spans="1:13" ht="14.25" customHeight="1" x14ac:dyDescent="0.35">
      <c r="A32" s="1" t="s">
        <v>197</v>
      </c>
      <c r="B32" s="51"/>
      <c r="C32" s="51"/>
      <c r="D32" s="51"/>
      <c r="E32" s="51"/>
      <c r="F32" s="51"/>
      <c r="G32" s="51"/>
      <c r="H32" s="51"/>
      <c r="I32" s="51"/>
      <c r="J32" s="51"/>
      <c r="K32" s="51"/>
    </row>
    <row r="33" spans="1:11" ht="14.25" customHeight="1" x14ac:dyDescent="0.35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</row>
    <row r="34" spans="1:11" ht="14.25" customHeight="1" x14ac:dyDescent="0.35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</row>
    <row r="35" spans="1:11" ht="14.25" customHeight="1" x14ac:dyDescent="0.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</row>
    <row r="36" spans="1:11" ht="14.25" customHeight="1" x14ac:dyDescent="0.35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</row>
    <row r="37" spans="1:11" ht="14.25" customHeight="1" x14ac:dyDescent="0.35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</row>
    <row r="38" spans="1:11" ht="14.25" customHeight="1" x14ac:dyDescent="0.35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</row>
    <row r="39" spans="1:11" ht="14.25" customHeight="1" x14ac:dyDescent="0.35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</row>
    <row r="40" spans="1:11" ht="14.25" customHeight="1" x14ac:dyDescent="0.35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</row>
    <row r="41" spans="1:11" ht="14.25" customHeight="1" x14ac:dyDescent="0.35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</row>
    <row r="42" spans="1:11" ht="14.25" customHeight="1" x14ac:dyDescent="0.35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</row>
    <row r="43" spans="1:11" ht="14.25" customHeight="1" x14ac:dyDescent="0.35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</row>
    <row r="44" spans="1:11" ht="14.25" customHeight="1" x14ac:dyDescent="0.35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</row>
    <row r="45" spans="1:11" ht="14.25" customHeight="1" x14ac:dyDescent="0.3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</row>
    <row r="46" spans="1:11" ht="14.25" customHeight="1" x14ac:dyDescent="0.35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ht="14.25" customHeight="1" x14ac:dyDescent="0.35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</row>
    <row r="48" spans="1:11" ht="14.25" customHeight="1" x14ac:dyDescent="0.35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</row>
    <row r="49" spans="1:11" ht="14.25" customHeight="1" x14ac:dyDescent="0.35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2026-02-19T12:04:45Z</dcterms:modified>
  <dc:language>en-US</dc:language>
</cp:coreProperties>
</file>