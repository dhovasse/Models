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\OneDrive\Documents\Equity Research\PALI\"/>
    </mc:Choice>
  </mc:AlternateContent>
  <xr:revisionPtr revIDLastSave="0" documentId="13_ncr:1_{3402659B-D607-463A-83F8-9643C1A53BA7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Diluted Shares" sheetId="1" r:id="rId1"/>
    <sheet name="rNPV Model" sheetId="2" r:id="rId2"/>
    <sheet name="Sensitivity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0" i="2" l="1"/>
  <c r="B68" i="2"/>
  <c r="B72" i="2"/>
  <c r="B75" i="2" s="1"/>
  <c r="B7" i="3"/>
  <c r="F21" i="3"/>
  <c r="B21" i="3"/>
  <c r="D8" i="3"/>
  <c r="D7" i="3"/>
  <c r="D4" i="3"/>
  <c r="B4" i="3"/>
  <c r="B85" i="2"/>
  <c r="D6" i="3" s="1"/>
  <c r="B57" i="2"/>
  <c r="B47" i="2"/>
  <c r="B43" i="2"/>
  <c r="D5" i="3" s="1"/>
  <c r="B31" i="2"/>
  <c r="B33" i="2" s="1"/>
  <c r="B25" i="2"/>
  <c r="B5" i="3" s="1"/>
  <c r="B15" i="2"/>
  <c r="B48" i="2" s="1"/>
  <c r="B22" i="1"/>
  <c r="B18" i="1"/>
  <c r="B12" i="1"/>
  <c r="B24" i="1" s="1"/>
  <c r="B90" i="2" s="1"/>
  <c r="B6" i="3" s="1"/>
  <c r="B53" i="2" l="1"/>
  <c r="B35" i="2"/>
  <c r="B58" i="2"/>
  <c r="B17" i="2"/>
  <c r="B99" i="2"/>
  <c r="B63" i="2"/>
  <c r="C21" i="3"/>
  <c r="D21" i="3"/>
  <c r="B50" i="2" l="1"/>
  <c r="B51" i="2" s="1"/>
  <c r="B52" i="2" s="1"/>
  <c r="B54" i="2" s="1"/>
  <c r="B49" i="2"/>
  <c r="B60" i="2"/>
  <c r="B59" i="2"/>
  <c r="G22" i="3" l="1"/>
  <c r="G23" i="3"/>
  <c r="G24" i="3"/>
  <c r="G20" i="3"/>
  <c r="G21" i="3"/>
  <c r="B61" i="2"/>
  <c r="B62" i="2" s="1"/>
  <c r="B64" i="2" s="1"/>
  <c r="B14" i="3"/>
  <c r="B13" i="3"/>
  <c r="B12" i="3"/>
  <c r="D13" i="3"/>
  <c r="E15" i="3"/>
  <c r="D12" i="3"/>
  <c r="F12" i="3"/>
  <c r="E14" i="3"/>
  <c r="F14" i="3"/>
  <c r="B15" i="3"/>
  <c r="C13" i="3"/>
  <c r="C15" i="3"/>
  <c r="F13" i="3"/>
  <c r="C14" i="3"/>
  <c r="F15" i="3"/>
  <c r="E13" i="3"/>
  <c r="D15" i="3"/>
  <c r="C12" i="3"/>
  <c r="E12" i="3"/>
  <c r="D14" i="3"/>
  <c r="B74" i="2"/>
  <c r="B76" i="2" s="1"/>
  <c r="B79" i="2" l="1"/>
  <c r="B101" i="2" s="1"/>
  <c r="B100" i="2"/>
  <c r="B87" i="2" l="1"/>
  <c r="B91" i="2" s="1"/>
  <c r="B102" i="2" s="1"/>
  <c r="B8" i="3" l="1"/>
  <c r="B94" i="2"/>
</calcChain>
</file>

<file path=xl/sharedStrings.xml><?xml version="1.0" encoding="utf-8"?>
<sst xmlns="http://schemas.openxmlformats.org/spreadsheetml/2006/main" count="215" uniqueCount="195">
  <si>
    <t>PALISADE BIO (PALI) — Fully Diluted Share Count</t>
  </si>
  <si>
    <t>Based on public disclosures through Dec 2025 + estimated future dilution</t>
  </si>
  <si>
    <t>Security Type</t>
  </si>
  <si>
    <t>Shares</t>
  </si>
  <si>
    <t>Ex. Price ($)</t>
  </si>
  <si>
    <t>Source / Notes</t>
  </si>
  <si>
    <t>Common Shares Outstanding (Basic)</t>
  </si>
  <si>
    <t>Source: StockAnalysis/InvestorsHub, record date Oct 17, 2025</t>
  </si>
  <si>
    <t>WARRANTS</t>
  </si>
  <si>
    <t>Oct 2025 Offering Overallotment (fully exercised)</t>
  </si>
  <si>
    <t>Oct 2025 $138M offering; full overallotment</t>
  </si>
  <si>
    <t>Replacement Warrants (July 2025 inducement)</t>
  </si>
  <si>
    <t>July 2025 warrant exercise; SH approval Dec 2025</t>
  </si>
  <si>
    <t>Placement Agent Warrants (est.)</t>
  </si>
  <si>
    <t>Est. from Oct 2025 offering placement agent</t>
  </si>
  <si>
    <t>Legacy / Other Warrants (est.)</t>
  </si>
  <si>
    <t>Remaining older warrants from prior financings</t>
  </si>
  <si>
    <t>Total Warrants</t>
  </si>
  <si>
    <t>STOCK OPTIONS &amp; RSUs</t>
  </si>
  <si>
    <t>2021 Equity Incentive Plan Options (est.)</t>
  </si>
  <si>
    <t>Mix of exercise prices; est. from 10-K filings</t>
  </si>
  <si>
    <t>2021 Inducement Plan Options (est.)</t>
  </si>
  <si>
    <t>Inducement grants to new executives</t>
  </si>
  <si>
    <t>RSUs / Restricted Stock Awards (est.)</t>
  </si>
  <si>
    <t>Est. unvested RSUs</t>
  </si>
  <si>
    <t>Total Options &amp; RSUs</t>
  </si>
  <si>
    <t>ESTIMATED FUTURE DILUTION</t>
  </si>
  <si>
    <t>Future equity raise for Phase 3 funding (est.)</t>
  </si>
  <si>
    <t>Total Future Dilution</t>
  </si>
  <si>
    <t>FULLY DILUTED SHARE COUNT</t>
  </si>
  <si>
    <t>Basic + Warrants + Options/RSUs + Future Raises</t>
  </si>
  <si>
    <t>PALISADE BIO (PALI) — Risk-Adjusted Net Present Value (rNPV)</t>
  </si>
  <si>
    <t>Lead Asset: PALI-2108 (oral gut-targeted PDE4 B/D inhibitor) | UC &amp; FSCD | Feb 2026</t>
  </si>
  <si>
    <t>KEY ASSUMPTIONS</t>
  </si>
  <si>
    <t>Discount Rate (WACC)</t>
  </si>
  <si>
    <t>Tax Rate</t>
  </si>
  <si>
    <t>US Federal corporate rate</t>
  </si>
  <si>
    <t>Patent Expiry Year</t>
  </si>
  <si>
    <t>Canadian patent through May 2041</t>
  </si>
  <si>
    <t>Launch Year — UC</t>
  </si>
  <si>
    <t>Ph2 2027-28, Ph3 2028-30, approval ~2031</t>
  </si>
  <si>
    <t>Launch Year — FSCD</t>
  </si>
  <si>
    <t>Ph2 2028-29, Ph3 2029-31, approval ~2032</t>
  </si>
  <si>
    <t>Model Base Year</t>
  </si>
  <si>
    <t>NPV calculated from 2026</t>
  </si>
  <si>
    <t>INDICATION 1: ULCERATIVE COLITIS (UC)</t>
  </si>
  <si>
    <t>UC TAM at Launch ($M)</t>
  </si>
  <si>
    <t>Global UC market ~$8-10B by 2031 (multiple sources)</t>
  </si>
  <si>
    <t>Peak Market Share (%)</t>
  </si>
  <si>
    <t>Peak Annual Revenue ($M)</t>
  </si>
  <si>
    <t>→tam × Share</t>
  </si>
  <si>
    <t>Net Profit Margin (after COGS, SGA, R&amp;D, tax)</t>
  </si>
  <si>
    <t>85% GM - 30% SGA - 10% R&amp;D, ×(1-21% tax)</t>
  </si>
  <si>
    <t>Peak Net Income ($M)</t>
  </si>
  <si>
    <t>→peak rev × Net Margin</t>
  </si>
  <si>
    <t>Ramp Adjustment Factor</t>
  </si>
  <si>
    <t>Avg NI as % of peak over patent life (ramp up/down)</t>
  </si>
  <si>
    <t>UC — Phase Transition Probabilities</t>
  </si>
  <si>
    <t>Phase 1b → Phase 2</t>
  </si>
  <si>
    <t>100% clinical response in Ph1b = near-certain to advance</t>
  </si>
  <si>
    <t>Phase 2 → Phase 3</t>
  </si>
  <si>
    <t>Strong Ph1 signal carries; oral convenience vs biologics</t>
  </si>
  <si>
    <t>Phase 3 → NDA Filing</t>
  </si>
  <si>
    <t>If Ph2 confirms, high confidence in Ph3</t>
  </si>
  <si>
    <t>NDA → FDA Approval</t>
  </si>
  <si>
    <t>Oral, clean safety profile supports favorable NDA review</t>
  </si>
  <si>
    <t>Cumulative PoS (cPoS)</t>
  </si>
  <si>
    <t>→product of all phases</t>
  </si>
  <si>
    <t>INDICATION 2: FIBROSTENOTIC CROHN'S DISEASE (FSCD)</t>
  </si>
  <si>
    <t>FSCD Target Patient Population (US)</t>
  </si>
  <si>
    <t>Annual Revenue per Patient ($)</t>
  </si>
  <si>
    <t>Estimated specialty oral drug annual cost</t>
  </si>
  <si>
    <t>US Peak Market Penetration (%)</t>
  </si>
  <si>
    <t>Peak US Revenue ($M)</t>
  </si>
  <si>
    <t>→patients × Rev/pt × Penetration</t>
  </si>
  <si>
    <t>ROW Multiplier</t>
  </si>
  <si>
    <t>ROW revenue = 50% of US</t>
  </si>
  <si>
    <t>Total Peak Revenue ($M)</t>
  </si>
  <si>
    <t>→us × (1+ROW)</t>
  </si>
  <si>
    <t>Net Profit Margin (%)</t>
  </si>
  <si>
    <t>Similar margin profile as UC</t>
  </si>
  <si>
    <t>→peak rev × Margin</t>
  </si>
  <si>
    <t>Faster ramp — first &amp; only therapy</t>
  </si>
  <si>
    <t>FSCD — Phase Transition Probabilities</t>
  </si>
  <si>
    <t>UC safety de-risks; PDE4B antifibrotic validated in IPF (NEJM)</t>
  </si>
  <si>
    <t>Agomab STENOVA de-risks FSCD regulatory path; dual MOA</t>
  </si>
  <si>
    <t>Breakthrough Therapy likely; STAR consortium endpoints</t>
  </si>
  <si>
    <t>Zero approved therapies; massive unmet need</t>
  </si>
  <si>
    <t>rNPV CALCULATION</t>
  </si>
  <si>
    <t>UC PROGRAM</t>
  </si>
  <si>
    <t>Commercial life (yrs)</t>
  </si>
  <si>
    <t>2041 patent − 2031 launch</t>
  </si>
  <si>
    <t>Peak annual revenue ($M)</t>
  </si>
  <si>
    <t>TAM × peak share</t>
  </si>
  <si>
    <t>Peak net income ($M)</t>
  </si>
  <si>
    <t>Peak rev × 35% margin</t>
  </si>
  <si>
    <t>Avg net income ($M, ramp-adjusted)</t>
  </si>
  <si>
    <t>Peak NI × 60% ramp factor</t>
  </si>
  <si>
    <t>PV of income stream at launch ($M)</t>
  </si>
  <si>
    <t>Annuity PV over commercial life</t>
  </si>
  <si>
    <t>PV discounted to 2026 ($M)</t>
  </si>
  <si>
    <t>Discount 5 yrs to base year</t>
  </si>
  <si>
    <t>Cumulative PoS</t>
  </si>
  <si>
    <t>UC Risk-Adjusted Revenue NPV ($M)</t>
  </si>
  <si>
    <t>FSCD PROGRAM</t>
  </si>
  <si>
    <t>2041 patent − 2032 launch</t>
  </si>
  <si>
    <t>$810M peak (US+ROW)</t>
  </si>
  <si>
    <t>Peak NI × 65% ramp factor</t>
  </si>
  <si>
    <t>Annuity PV</t>
  </si>
  <si>
    <t>Discount 6 yrs</t>
  </si>
  <si>
    <t>FSCD Risk-Adjusted Revenue NPV ($M)</t>
  </si>
  <si>
    <t>RISK-ADJUSTED DEVELOPMENT COSTS</t>
  </si>
  <si>
    <t>UC Phase 2 ($M, committed)</t>
  </si>
  <si>
    <t>UC Phase 3 ($M, × P(reach Ph3))</t>
  </si>
  <si>
    <t>FSCD Phase 2 ($M, committed)</t>
  </si>
  <si>
    <t>Smaller cohort</t>
  </si>
  <si>
    <t>FSCD Phase 3 ($M, × P(reach Ph3))</t>
  </si>
  <si>
    <t>G&amp;A to commercialization ($M)</t>
  </si>
  <si>
    <t>PV of total dev costs ($M)</t>
  </si>
  <si>
    <t>Discounted at ~2.5yr midpoint</t>
  </si>
  <si>
    <t>TOTAL Risk-Adj Pipeline Revenue ($M)</t>
  </si>
  <si>
    <t>PV of Development Costs ($M)</t>
  </si>
  <si>
    <t>NET PIPELINE rNPV ($M)</t>
  </si>
  <si>
    <t>Revenue minus dev costs</t>
  </si>
  <si>
    <t>STRATEGIC &amp; OPTION VALUE</t>
  </si>
  <si>
    <t>25% — oral dual-mechanism, IP to 2041, validated PDE4B target</t>
  </si>
  <si>
    <t>Platform / preclinical optionality ($M)</t>
  </si>
  <si>
    <t>CASH POSITION</t>
  </si>
  <si>
    <t>Cash &amp; equivalents ($M)</t>
  </si>
  <si>
    <t>Debt ($M)</t>
  </si>
  <si>
    <t>Net cash ($M)</t>
  </si>
  <si>
    <t>NO burn deduct — already in dev costs</t>
  </si>
  <si>
    <t>TOTAL EQUITY rNPV ($M)</t>
  </si>
  <si>
    <t>Pipeline + strategic + cash</t>
  </si>
  <si>
    <t>FAIR VALUE PER SHARE</t>
  </si>
  <si>
    <t>Fully Diluted Shares</t>
  </si>
  <si>
    <t>rNPV FAIR VALUE PER SHARE ($)</t>
  </si>
  <si>
    <t>Current Stock Price ($)</t>
  </si>
  <si>
    <t>Upside / (Downside)</t>
  </si>
  <si>
    <t>Clear Street Price Target ($)</t>
  </si>
  <si>
    <t>Source: Clear Street initiation Dec 2025, Buy</t>
  </si>
  <si>
    <t>VALUE BRIDGE ($/share)</t>
  </si>
  <si>
    <t>Net Cash / Share</t>
  </si>
  <si>
    <t>Cash floor</t>
  </si>
  <si>
    <t>+ Net Pipeline Value / Share</t>
  </si>
  <si>
    <t>Risk-adj pipeline net of dev costs</t>
  </si>
  <si>
    <t>+ Strategic Premium / Share</t>
  </si>
  <si>
    <t>M&amp;A + optionality</t>
  </si>
  <si>
    <t>FAIR VALUE / SHARE</t>
  </si>
  <si>
    <t>PALI rNPV — SENSITIVITY ANALYSIS</t>
  </si>
  <si>
    <t>Reference Values (linked to rNPV Model)</t>
  </si>
  <si>
    <t>WACC</t>
  </si>
  <si>
    <t>UC Market Share</t>
  </si>
  <si>
    <t>UC cPoS</t>
  </si>
  <si>
    <t>FSCD cPoS</t>
  </si>
  <si>
    <t>Net Cash ($M)</t>
  </si>
  <si>
    <t>Platform Optionality ($M)</t>
  </si>
  <si>
    <t>Current Price</t>
  </si>
  <si>
    <t>Fair Value by UC Market Share &amp; WACC</t>
  </si>
  <si>
    <t>WACC \ UC Share</t>
  </si>
  <si>
    <t>SCENARIO ANALYSIS</t>
  </si>
  <si>
    <t>Scenario</t>
  </si>
  <si>
    <t>UC Share</t>
  </si>
  <si>
    <t>Fair Value</t>
  </si>
  <si>
    <t>Notes</t>
  </si>
  <si>
    <t>Bear Case</t>
  </si>
  <si>
    <t>Base Case</t>
  </si>
  <si>
    <t>Good (Safety)</t>
  </si>
  <si>
    <t>Strong (MoA)</t>
  </si>
  <si>
    <t>Blue Sky</t>
  </si>
  <si>
    <t>M&amp;A/BO</t>
  </si>
  <si>
    <t>KEY ASSUMPTION JUSTIFICATIONS</t>
  </si>
  <si>
    <t>UC cPoS 28%: 100% clinical response in Ph1b is top-decile. Apremilast (PDE4) approval validates class.</t>
  </si>
  <si>
    <t>FSCD cPoS 18%: PDE4B antifibrotic validated by BI 1015550 in IPF (NEJM). Agomab STENOVA de-risks path.</t>
  </si>
  <si>
    <t>FSCD $2.25B peak: 250K US patients, $40K/yr orphan-adjacent pricing, 15% penetration, 0.5x ROW.</t>
  </si>
  <si>
    <t>Competitor: Agomab ontunisertib (ALK5) Ph2a+; different MOA. Spesolimab (BI) FAILED in FSCD.</t>
  </si>
  <si>
    <t>M&amp;A Premium</t>
  </si>
  <si>
    <t>Partnership / M&amp;A premium (25%)</t>
  </si>
  <si>
    <t>Base Fair Value</t>
  </si>
  <si>
    <t>PDE4 platform, gut restricted platform</t>
  </si>
  <si>
    <t>UC 6% share: Oral gut-targeted, no systemic immunosuppression vs JAK/biologics. Convenience advantage.</t>
  </si>
  <si>
    <t xml:space="preserve">Post Oct 2025 raise ($138M gross) + projected $60M future raise + $15.5M warrants </t>
  </si>
  <si>
    <t>Platform ($M)</t>
  </si>
  <si>
    <t>Typical early-stage biotech WACC - PoC &amp; safety proven in UC phase 1a</t>
  </si>
  <si>
    <t>Oral small molecule, CRO-run, large registrational study planned N=195</t>
  </si>
  <si>
    <t>~$6M/yr 2026-2027 (Phase 2) + ~10M/yr 2028-2030 (Phase 3 &amp; NDA)</t>
  </si>
  <si>
    <t>Assumption: ~$60M raise at ~$6.50/share Phase 3 funding event (2028)</t>
  </si>
  <si>
    <t>oral PDE4 in crowded biologics market</t>
  </si>
  <si>
    <t>Safe + Confirmed Tissue PK/PD (Target Engagement), but no downstream structural changes</t>
  </si>
  <si>
    <t>Significant reduction in Fibrosis Genes (scRNA-seq) and/or resolution of Inflammatory Edema (precursor to stricture improvement)</t>
  </si>
  <si>
    <t>Est. ~150K Symptomatic/Active FSCD patients &amp; ~150k Post-op maintenance; ZERO approved therapies</t>
  </si>
  <si>
    <t>first &amp; only therapy; strong first-mover; blending symptomatic/Active penetration (20%) with Post-op maintenance penetration (10%)</t>
  </si>
  <si>
    <t>$55M × P(Ph1b→Ph2) × P(Ph2→Ph3)</t>
  </si>
  <si>
    <t>$40M × P(Ph1b→Ph2) × P(Ph2→Ph3)</t>
  </si>
  <si>
    <t>Zero fibrosis signals, FSCD discontinued, and UC becomes a commercial flop (immediate cash value is still $0.98)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</si>
</sst>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%"/>
    <numFmt numFmtId="166" formatCode="\$#,##0"/>
    <numFmt numFmtId="167" formatCode="0.00\x"/>
    <numFmt numFmtId="168" formatCode="\$#,##0.0"/>
    <numFmt numFmtId="169" formatCode="\$#,##0.00_);[Red]&quot;($&quot;#,##0.00\)"/>
    <numFmt numFmtId="170" formatCode="&quot;$&quot;#,##0"/>
  </numFmts>
  <fonts count="35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b/>
      <sz val="11"/>
      <color rgb="FF1F4E7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i/>
      <sz val="9"/>
      <name val="Arial"/>
      <family val="2"/>
      <charset val="1"/>
    </font>
    <font>
      <b/>
      <sz val="12"/>
      <color rgb="FF1F4E79"/>
      <name val="Arial"/>
      <family val="2"/>
    </font>
    <font>
      <i/>
      <sz val="9"/>
      <color rgb="FF1F4E79"/>
      <name val="Arial"/>
      <family val="2"/>
    </font>
    <font>
      <b/>
      <u/>
      <sz val="10"/>
      <color rgb="FF1F4E79"/>
      <name val="Arial"/>
      <family val="2"/>
    </font>
    <font>
      <i/>
      <sz val="9"/>
      <color rgb="FF666666"/>
      <name val="Arial"/>
      <family val="2"/>
      <charset val="1"/>
    </font>
    <font>
      <b/>
      <sz val="11"/>
      <color rgb="FF008000"/>
      <name val="Arial"/>
      <family val="2"/>
    </font>
    <font>
      <b/>
      <sz val="12"/>
      <color rgb="FF006100"/>
      <name val="Arial"/>
      <family val="2"/>
    </font>
    <font>
      <b/>
      <sz val="14"/>
      <color rgb="FF0061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charset val="1"/>
    </font>
    <font>
      <b/>
      <sz val="11"/>
      <color rgb="FF00610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6100"/>
      <name val="Arial"/>
      <family val="2"/>
    </font>
    <font>
      <b/>
      <sz val="11"/>
      <color rgb="FF006100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1"/>
      <color rgb="FF1F4E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6E4F0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6E4F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26" fillId="8" borderId="0" applyNumberFormat="0" applyBorder="0" applyAlignment="0" applyProtection="0"/>
    <xf numFmtId="9" fontId="25" fillId="0" borderId="0"/>
    <xf numFmtId="0" fontId="21" fillId="2" borderId="0"/>
  </cellStyleXfs>
  <cellXfs count="95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/>
    <xf numFmtId="3" fontId="5" fillId="5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6" borderId="1" xfId="0" applyFont="1" applyFill="1" applyBorder="1"/>
    <xf numFmtId="0" fontId="0" fillId="6" borderId="1" xfId="0" applyFill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9" fillId="7" borderId="1" xfId="0" applyFont="1" applyFill="1" applyBorder="1"/>
    <xf numFmtId="3" fontId="9" fillId="7" borderId="1" xfId="0" applyNumberFormat="1" applyFont="1" applyFill="1" applyBorder="1"/>
    <xf numFmtId="0" fontId="6" fillId="7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2" fillId="6" borderId="2" xfId="0" applyFont="1" applyFill="1" applyBorder="1"/>
    <xf numFmtId="3" fontId="12" fillId="6" borderId="2" xfId="0" applyNumberFormat="1" applyFont="1" applyFill="1" applyBorder="1"/>
    <xf numFmtId="0" fontId="6" fillId="6" borderId="2" xfId="0" applyFont="1" applyFill="1" applyBorder="1"/>
    <xf numFmtId="0" fontId="13" fillId="6" borderId="2" xfId="0" applyFont="1" applyFill="1" applyBorder="1"/>
    <xf numFmtId="165" fontId="5" fillId="5" borderId="1" xfId="0" applyNumberFormat="1" applyFont="1" applyFill="1" applyBorder="1"/>
    <xf numFmtId="0" fontId="2" fillId="0" borderId="1" xfId="0" applyFont="1" applyBorder="1"/>
    <xf numFmtId="166" fontId="5" fillId="5" borderId="1" xfId="0" applyNumberFormat="1" applyFont="1" applyFill="1" applyBorder="1"/>
    <xf numFmtId="166" fontId="6" fillId="0" borderId="1" xfId="0" applyNumberFormat="1" applyFont="1" applyBorder="1"/>
    <xf numFmtId="2" fontId="5" fillId="5" borderId="1" xfId="0" applyNumberFormat="1" applyFont="1" applyFill="1" applyBorder="1"/>
    <xf numFmtId="165" fontId="9" fillId="0" borderId="1" xfId="0" applyNumberFormat="1" applyFont="1" applyBorder="1"/>
    <xf numFmtId="167" fontId="5" fillId="5" borderId="1" xfId="0" applyNumberFormat="1" applyFont="1" applyFill="1" applyBorder="1"/>
    <xf numFmtId="0" fontId="6" fillId="6" borderId="1" xfId="0" applyFont="1" applyFill="1" applyBorder="1"/>
    <xf numFmtId="0" fontId="14" fillId="0" borderId="1" xfId="0" applyFont="1" applyBorder="1"/>
    <xf numFmtId="3" fontId="6" fillId="0" borderId="0" xfId="0" applyNumberFormat="1" applyFont="1"/>
    <xf numFmtId="0" fontId="6" fillId="0" borderId="0" xfId="0" applyFont="1"/>
    <xf numFmtId="3" fontId="6" fillId="0" borderId="1" xfId="0" applyNumberFormat="1" applyFont="1" applyBorder="1"/>
    <xf numFmtId="165" fontId="6" fillId="0" borderId="1" xfId="0" applyNumberFormat="1" applyFont="1" applyBorder="1"/>
    <xf numFmtId="0" fontId="9" fillId="0" borderId="1" xfId="0" applyFont="1" applyBorder="1"/>
    <xf numFmtId="168" fontId="9" fillId="0" borderId="1" xfId="0" applyNumberFormat="1" applyFont="1" applyBorder="1"/>
    <xf numFmtId="166" fontId="6" fillId="0" borderId="0" xfId="0" applyNumberFormat="1" applyFont="1"/>
    <xf numFmtId="168" fontId="6" fillId="0" borderId="1" xfId="0" applyNumberFormat="1" applyFont="1" applyBorder="1"/>
    <xf numFmtId="168" fontId="9" fillId="7" borderId="1" xfId="0" applyNumberFormat="1" applyFont="1" applyFill="1" applyBorder="1"/>
    <xf numFmtId="164" fontId="6" fillId="0" borderId="0" xfId="0" applyNumberFormat="1" applyFont="1"/>
    <xf numFmtId="166" fontId="9" fillId="0" borderId="1" xfId="0" applyNumberFormat="1" applyFont="1" applyBorder="1"/>
    <xf numFmtId="0" fontId="15" fillId="0" borderId="0" xfId="0" applyFont="1"/>
    <xf numFmtId="168" fontId="12" fillId="6" borderId="2" xfId="0" applyNumberFormat="1" applyFont="1" applyFill="1" applyBorder="1"/>
    <xf numFmtId="0" fontId="2" fillId="6" borderId="2" xfId="0" applyFont="1" applyFill="1" applyBorder="1"/>
    <xf numFmtId="164" fontId="6" fillId="6" borderId="1" xfId="0" applyNumberFormat="1" applyFont="1" applyFill="1" applyBorder="1"/>
    <xf numFmtId="3" fontId="16" fillId="0" borderId="1" xfId="0" applyNumberFormat="1" applyFont="1" applyBorder="1"/>
    <xf numFmtId="0" fontId="17" fillId="2" borderId="2" xfId="0" applyFont="1" applyFill="1" applyBorder="1"/>
    <xf numFmtId="164" fontId="18" fillId="2" borderId="2" xfId="0" applyNumberFormat="1" applyFont="1" applyFill="1" applyBorder="1"/>
    <xf numFmtId="164" fontId="5" fillId="5" borderId="1" xfId="0" applyNumberFormat="1" applyFont="1" applyFill="1" applyBorder="1"/>
    <xf numFmtId="0" fontId="6" fillId="6" borderId="0" xfId="0" applyFont="1" applyFill="1"/>
    <xf numFmtId="164" fontId="6" fillId="0" borderId="1" xfId="0" applyNumberFormat="1" applyFont="1" applyBorder="1"/>
    <xf numFmtId="0" fontId="9" fillId="2" borderId="2" xfId="0" applyFont="1" applyFill="1" applyBorder="1"/>
    <xf numFmtId="164" fontId="9" fillId="2" borderId="2" xfId="0" applyNumberFormat="1" applyFont="1" applyFill="1" applyBorder="1"/>
    <xf numFmtId="0" fontId="12" fillId="0" borderId="0" xfId="0" applyFont="1"/>
    <xf numFmtId="0" fontId="19" fillId="0" borderId="0" xfId="0" applyFont="1"/>
    <xf numFmtId="0" fontId="8" fillId="6" borderId="0" xfId="0" applyFont="1" applyFill="1"/>
    <xf numFmtId="0" fontId="19" fillId="6" borderId="0" xfId="0" applyFont="1" applyFill="1"/>
    <xf numFmtId="0" fontId="20" fillId="0" borderId="1" xfId="0" applyFont="1" applyBorder="1"/>
    <xf numFmtId="9" fontId="20" fillId="0" borderId="1" xfId="0" applyNumberFormat="1" applyFont="1" applyBorder="1"/>
    <xf numFmtId="9" fontId="19" fillId="0" borderId="0" xfId="0" applyNumberFormat="1" applyFont="1"/>
    <xf numFmtId="164" fontId="20" fillId="0" borderId="1" xfId="0" applyNumberFormat="1" applyFont="1" applyBorder="1"/>
    <xf numFmtId="164" fontId="19" fillId="0" borderId="0" xfId="0" applyNumberFormat="1" applyFont="1"/>
    <xf numFmtId="164" fontId="22" fillId="2" borderId="1" xfId="0" applyNumberFormat="1" applyFont="1" applyFill="1" applyBorder="1" applyAlignment="1">
      <alignment horizontal="center"/>
    </xf>
    <xf numFmtId="0" fontId="23" fillId="7" borderId="1" xfId="0" applyFont="1" applyFill="1" applyBorder="1"/>
    <xf numFmtId="9" fontId="20" fillId="7" borderId="1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1" xfId="2" applyNumberFormat="1" applyFont="1" applyBorder="1" applyAlignment="1">
      <alignment horizontal="center"/>
    </xf>
    <xf numFmtId="164" fontId="19" fillId="0" borderId="1" xfId="3" applyNumberFormat="1" applyFont="1" applyFill="1" applyBorder="1" applyAlignment="1">
      <alignment horizontal="center"/>
    </xf>
    <xf numFmtId="9" fontId="19" fillId="0" borderId="0" xfId="2" applyFont="1"/>
    <xf numFmtId="169" fontId="19" fillId="0" borderId="0" xfId="0" applyNumberFormat="1" applyFont="1"/>
    <xf numFmtId="9" fontId="19" fillId="6" borderId="0" xfId="0" applyNumberFormat="1" applyFont="1" applyFill="1"/>
    <xf numFmtId="165" fontId="19" fillId="6" borderId="0" xfId="0" applyNumberFormat="1" applyFont="1" applyFill="1"/>
    <xf numFmtId="164" fontId="19" fillId="6" borderId="0" xfId="0" applyNumberFormat="1" applyFont="1" applyFill="1"/>
    <xf numFmtId="0" fontId="20" fillId="7" borderId="1" xfId="0" applyFont="1" applyFill="1" applyBorder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4" fontId="24" fillId="2" borderId="1" xfId="0" applyNumberFormat="1" applyFont="1" applyFill="1" applyBorder="1" applyAlignment="1">
      <alignment horizontal="center"/>
    </xf>
    <xf numFmtId="0" fontId="8" fillId="0" borderId="0" xfId="0" applyFont="1"/>
    <xf numFmtId="9" fontId="27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9" fontId="29" fillId="2" borderId="1" xfId="0" applyNumberFormat="1" applyFont="1" applyFill="1" applyBorder="1"/>
    <xf numFmtId="164" fontId="28" fillId="0" borderId="1" xfId="3" applyNumberFormat="1" applyFont="1" applyFill="1" applyBorder="1"/>
    <xf numFmtId="9" fontId="28" fillId="0" borderId="1" xfId="0" applyNumberFormat="1" applyFont="1" applyBorder="1"/>
    <xf numFmtId="164" fontId="30" fillId="8" borderId="1" xfId="1" applyNumberFormat="1" applyFont="1" applyBorder="1" applyAlignment="1">
      <alignment horizontal="center"/>
    </xf>
    <xf numFmtId="164" fontId="31" fillId="0" borderId="1" xfId="2" applyNumberFormat="1" applyFont="1" applyBorder="1" applyAlignment="1">
      <alignment horizontal="center"/>
    </xf>
    <xf numFmtId="0" fontId="32" fillId="0" borderId="1" xfId="0" applyFont="1" applyBorder="1"/>
    <xf numFmtId="3" fontId="27" fillId="0" borderId="1" xfId="0" applyNumberFormat="1" applyFont="1" applyBorder="1" applyAlignment="1">
      <alignment horizontal="center"/>
    </xf>
    <xf numFmtId="166" fontId="27" fillId="0" borderId="1" xfId="0" applyNumberFormat="1" applyFont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0" fontId="33" fillId="0" borderId="0" xfId="0" applyFont="1"/>
    <xf numFmtId="0" fontId="27" fillId="0" borderId="0" xfId="0" applyFont="1"/>
    <xf numFmtId="0" fontId="28" fillId="7" borderId="1" xfId="0" applyFont="1" applyFill="1" applyBorder="1" applyAlignment="1">
      <alignment horizontal="center"/>
    </xf>
    <xf numFmtId="170" fontId="27" fillId="0" borderId="1" xfId="0" applyNumberFormat="1" applyFont="1" applyBorder="1" applyAlignment="1">
      <alignment horizontal="center"/>
    </xf>
    <xf numFmtId="1" fontId="5" fillId="5" borderId="1" xfId="0" applyNumberFormat="1" applyFont="1" applyFill="1" applyBorder="1"/>
    <xf numFmtId="0" fontId="34" fillId="6" borderId="0" xfId="0" applyFont="1" applyFill="1"/>
    <xf numFmtId="0" fontId="1" fillId="0" borderId="0" xfId="0" applyFont="1"/>
    <xf numFmtId="0" fontId="2" fillId="0" borderId="0" xfId="0" applyFont="1"/>
  </cellXfs>
  <cellStyles count="4">
    <cellStyle name="Excel Built-in Good" xfId="3" xr:uid="{00000000-0005-0000-0000-000006000000}"/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selection activeCell="A25" sqref="A25"/>
    </sheetView>
  </sheetViews>
  <sheetFormatPr defaultColWidth="8.6328125" defaultRowHeight="14.5" x14ac:dyDescent="0.35"/>
  <cols>
    <col min="1" max="1" width="52" customWidth="1"/>
    <col min="2" max="2" width="22" customWidth="1"/>
    <col min="3" max="3" width="18" customWidth="1"/>
    <col min="4" max="4" width="55" customWidth="1"/>
  </cols>
  <sheetData>
    <row r="1" spans="1:4" ht="17.25" customHeight="1" x14ac:dyDescent="0.4">
      <c r="A1" s="93" t="s">
        <v>0</v>
      </c>
      <c r="B1" s="93"/>
      <c r="C1" s="93"/>
      <c r="D1" s="93"/>
    </row>
    <row r="2" spans="1:4" ht="15" customHeight="1" x14ac:dyDescent="0.35">
      <c r="A2" s="94" t="s">
        <v>1</v>
      </c>
      <c r="B2" s="94"/>
      <c r="C2" s="94"/>
      <c r="D2" s="94"/>
    </row>
    <row r="4" spans="1:4" ht="15" customHeight="1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4" ht="15" customHeight="1" x14ac:dyDescent="0.35">
      <c r="A5" s="3" t="s">
        <v>6</v>
      </c>
      <c r="B5" s="4">
        <v>149003210</v>
      </c>
      <c r="C5" s="5"/>
      <c r="D5" s="6" t="s">
        <v>7</v>
      </c>
    </row>
    <row r="7" spans="1:4" ht="15" customHeight="1" x14ac:dyDescent="0.35">
      <c r="A7" s="7" t="s">
        <v>8</v>
      </c>
      <c r="B7" s="8"/>
      <c r="C7" s="8"/>
      <c r="D7" s="8"/>
    </row>
    <row r="8" spans="1:4" ht="15" customHeight="1" x14ac:dyDescent="0.35">
      <c r="A8" s="5" t="s">
        <v>9</v>
      </c>
      <c r="B8" s="9">
        <v>25714285</v>
      </c>
      <c r="C8" s="10">
        <v>0.7</v>
      </c>
      <c r="D8" s="6" t="s">
        <v>10</v>
      </c>
    </row>
    <row r="9" spans="1:4" ht="15" customHeight="1" x14ac:dyDescent="0.35">
      <c r="A9" s="5" t="s">
        <v>11</v>
      </c>
      <c r="B9" s="9">
        <v>8637810</v>
      </c>
      <c r="C9" s="10">
        <v>0.90469999999999995</v>
      </c>
      <c r="D9" s="6" t="s">
        <v>12</v>
      </c>
    </row>
    <row r="10" spans="1:4" ht="15" customHeight="1" x14ac:dyDescent="0.35">
      <c r="A10" s="5" t="s">
        <v>13</v>
      </c>
      <c r="B10" s="9">
        <v>5000000</v>
      </c>
      <c r="C10" s="10">
        <v>0.7</v>
      </c>
      <c r="D10" s="6" t="s">
        <v>14</v>
      </c>
    </row>
    <row r="11" spans="1:4" ht="15" customHeight="1" x14ac:dyDescent="0.35">
      <c r="A11" s="5" t="s">
        <v>15</v>
      </c>
      <c r="B11" s="9">
        <v>3000000</v>
      </c>
      <c r="C11" s="10">
        <v>1.4</v>
      </c>
      <c r="D11" s="6" t="s">
        <v>16</v>
      </c>
    </row>
    <row r="12" spans="1:4" ht="15" customHeight="1" x14ac:dyDescent="0.35">
      <c r="A12" s="11" t="s">
        <v>17</v>
      </c>
      <c r="B12" s="12">
        <f>SUM(B8:B11)</f>
        <v>42352095</v>
      </c>
      <c r="C12" s="13"/>
      <c r="D12" s="13"/>
    </row>
    <row r="14" spans="1:4" ht="15" customHeight="1" x14ac:dyDescent="0.35">
      <c r="A14" s="7" t="s">
        <v>18</v>
      </c>
      <c r="B14" s="8"/>
      <c r="C14" s="8"/>
      <c r="D14" s="8"/>
    </row>
    <row r="15" spans="1:4" ht="15" customHeight="1" x14ac:dyDescent="0.35">
      <c r="A15" s="5" t="s">
        <v>19</v>
      </c>
      <c r="B15" s="9">
        <v>2500000</v>
      </c>
      <c r="C15" s="10">
        <v>1.5</v>
      </c>
      <c r="D15" s="6" t="s">
        <v>20</v>
      </c>
    </row>
    <row r="16" spans="1:4" ht="15" customHeight="1" x14ac:dyDescent="0.35">
      <c r="A16" s="5" t="s">
        <v>21</v>
      </c>
      <c r="B16" s="9">
        <v>1500000</v>
      </c>
      <c r="C16" s="10">
        <v>1.2</v>
      </c>
      <c r="D16" s="6" t="s">
        <v>22</v>
      </c>
    </row>
    <row r="17" spans="1:4" ht="15" customHeight="1" x14ac:dyDescent="0.35">
      <c r="A17" s="5" t="s">
        <v>23</v>
      </c>
      <c r="B17" s="9">
        <v>500000</v>
      </c>
      <c r="C17" s="10">
        <v>0</v>
      </c>
      <c r="D17" s="6" t="s">
        <v>24</v>
      </c>
    </row>
    <row r="18" spans="1:4" ht="15" customHeight="1" x14ac:dyDescent="0.35">
      <c r="A18" s="11" t="s">
        <v>25</v>
      </c>
      <c r="B18" s="12">
        <f>SUM(B15:B17)</f>
        <v>4500000</v>
      </c>
      <c r="C18" s="13"/>
      <c r="D18" s="13"/>
    </row>
    <row r="20" spans="1:4" ht="15" customHeight="1" x14ac:dyDescent="0.35">
      <c r="A20" s="7" t="s">
        <v>26</v>
      </c>
      <c r="B20" s="8"/>
      <c r="C20" s="8"/>
      <c r="D20" s="8"/>
    </row>
    <row r="21" spans="1:4" ht="15" customHeight="1" x14ac:dyDescent="0.35">
      <c r="A21" s="14" t="s">
        <v>27</v>
      </c>
      <c r="B21" s="4">
        <v>9230769</v>
      </c>
      <c r="C21" s="10">
        <v>6.5</v>
      </c>
      <c r="D21" s="15" t="s">
        <v>186</v>
      </c>
    </row>
    <row r="22" spans="1:4" ht="15" customHeight="1" x14ac:dyDescent="0.35">
      <c r="A22" s="11" t="s">
        <v>28</v>
      </c>
      <c r="B22" s="12">
        <f>B21</f>
        <v>9230769</v>
      </c>
      <c r="C22" s="13"/>
      <c r="D22" s="13"/>
    </row>
    <row r="24" spans="1:4" ht="15" customHeight="1" x14ac:dyDescent="0.35">
      <c r="A24" s="16" t="s">
        <v>29</v>
      </c>
      <c r="B24" s="17">
        <f>B5+B12+B18+B22</f>
        <v>205086074</v>
      </c>
      <c r="C24" s="18"/>
      <c r="D24" s="19" t="s">
        <v>30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topLeftCell="A72" zoomScaleNormal="100" workbookViewId="0">
      <selection activeCell="A103" sqref="A103"/>
    </sheetView>
  </sheetViews>
  <sheetFormatPr defaultColWidth="8.6328125" defaultRowHeight="14.5" x14ac:dyDescent="0.35"/>
  <cols>
    <col min="1" max="1" width="48" customWidth="1"/>
    <col min="2" max="2" width="18" customWidth="1"/>
    <col min="3" max="3" width="55" customWidth="1"/>
  </cols>
  <sheetData>
    <row r="1" spans="1:3" ht="17.25" customHeight="1" x14ac:dyDescent="0.4">
      <c r="A1" s="93" t="s">
        <v>31</v>
      </c>
      <c r="B1" s="93"/>
      <c r="C1" s="93"/>
    </row>
    <row r="2" spans="1:3" ht="15" customHeight="1" x14ac:dyDescent="0.35">
      <c r="A2" s="94" t="s">
        <v>32</v>
      </c>
      <c r="B2" s="94"/>
      <c r="C2" s="94"/>
    </row>
    <row r="4" spans="1:3" ht="15" customHeight="1" x14ac:dyDescent="0.35">
      <c r="A4" s="7" t="s">
        <v>33</v>
      </c>
      <c r="B4" s="8"/>
      <c r="C4" s="8"/>
    </row>
    <row r="5" spans="1:3" ht="15" customHeight="1" x14ac:dyDescent="0.35">
      <c r="A5" s="5" t="s">
        <v>34</v>
      </c>
      <c r="B5" s="20">
        <v>0.13</v>
      </c>
      <c r="C5" s="21" t="s">
        <v>183</v>
      </c>
    </row>
    <row r="6" spans="1:3" ht="15" customHeight="1" x14ac:dyDescent="0.35">
      <c r="A6" s="5" t="s">
        <v>35</v>
      </c>
      <c r="B6" s="20">
        <v>0.21</v>
      </c>
      <c r="C6" s="21" t="s">
        <v>36</v>
      </c>
    </row>
    <row r="7" spans="1:3" ht="15" customHeight="1" x14ac:dyDescent="0.35">
      <c r="A7" s="5" t="s">
        <v>37</v>
      </c>
      <c r="B7" s="91">
        <v>2041</v>
      </c>
      <c r="C7" s="21" t="s">
        <v>38</v>
      </c>
    </row>
    <row r="8" spans="1:3" ht="15" customHeight="1" x14ac:dyDescent="0.35">
      <c r="A8" s="5" t="s">
        <v>39</v>
      </c>
      <c r="B8" s="91">
        <v>2031</v>
      </c>
      <c r="C8" s="21" t="s">
        <v>40</v>
      </c>
    </row>
    <row r="9" spans="1:3" ht="15" customHeight="1" x14ac:dyDescent="0.35">
      <c r="A9" s="5" t="s">
        <v>41</v>
      </c>
      <c r="B9" s="91">
        <v>2032</v>
      </c>
      <c r="C9" s="21" t="s">
        <v>42</v>
      </c>
    </row>
    <row r="10" spans="1:3" ht="15" customHeight="1" x14ac:dyDescent="0.35">
      <c r="A10" s="5" t="s">
        <v>43</v>
      </c>
      <c r="B10" s="91">
        <v>2026</v>
      </c>
      <c r="C10" s="21" t="s">
        <v>44</v>
      </c>
    </row>
    <row r="12" spans="1:3" ht="15" customHeight="1" x14ac:dyDescent="0.35">
      <c r="A12" s="7" t="s">
        <v>45</v>
      </c>
      <c r="B12" s="8"/>
      <c r="C12" s="8"/>
    </row>
    <row r="13" spans="1:3" ht="15" customHeight="1" x14ac:dyDescent="0.35">
      <c r="A13" s="5" t="s">
        <v>46</v>
      </c>
      <c r="B13" s="22">
        <v>10000</v>
      </c>
      <c r="C13" s="21" t="s">
        <v>47</v>
      </c>
    </row>
    <row r="14" spans="1:3" ht="15" customHeight="1" x14ac:dyDescent="0.35">
      <c r="A14" s="5" t="s">
        <v>48</v>
      </c>
      <c r="B14" s="20">
        <v>0.06</v>
      </c>
      <c r="C14" s="21" t="s">
        <v>187</v>
      </c>
    </row>
    <row r="15" spans="1:3" ht="15" customHeight="1" x14ac:dyDescent="0.35">
      <c r="A15" s="5" t="s">
        <v>49</v>
      </c>
      <c r="B15" s="23">
        <f>B13*B14</f>
        <v>600</v>
      </c>
      <c r="C15" s="21" t="s">
        <v>50</v>
      </c>
    </row>
    <row r="16" spans="1:3" ht="15" customHeight="1" x14ac:dyDescent="0.35">
      <c r="A16" s="5" t="s">
        <v>51</v>
      </c>
      <c r="B16" s="20">
        <v>0.35</v>
      </c>
      <c r="C16" s="21" t="s">
        <v>52</v>
      </c>
    </row>
    <row r="17" spans="1:3" ht="15" customHeight="1" x14ac:dyDescent="0.35">
      <c r="A17" s="5" t="s">
        <v>53</v>
      </c>
      <c r="B17" s="23">
        <f>B15*B16</f>
        <v>210</v>
      </c>
      <c r="C17" s="21" t="s">
        <v>54</v>
      </c>
    </row>
    <row r="18" spans="1:3" ht="15" customHeight="1" x14ac:dyDescent="0.35">
      <c r="A18" s="5" t="s">
        <v>55</v>
      </c>
      <c r="B18" s="24">
        <v>0.6</v>
      </c>
      <c r="C18" s="21" t="s">
        <v>56</v>
      </c>
    </row>
    <row r="20" spans="1:3" ht="15" customHeight="1" x14ac:dyDescent="0.35">
      <c r="A20" s="7" t="s">
        <v>57</v>
      </c>
      <c r="B20" s="8"/>
      <c r="C20" s="8"/>
    </row>
    <row r="21" spans="1:3" ht="15" customHeight="1" x14ac:dyDescent="0.35">
      <c r="A21" s="5" t="s">
        <v>58</v>
      </c>
      <c r="B21" s="20">
        <v>0.9</v>
      </c>
      <c r="C21" s="21" t="s">
        <v>59</v>
      </c>
    </row>
    <row r="22" spans="1:3" ht="15" customHeight="1" x14ac:dyDescent="0.35">
      <c r="A22" s="5" t="s">
        <v>60</v>
      </c>
      <c r="B22" s="20">
        <v>0.5</v>
      </c>
      <c r="C22" s="21" t="s">
        <v>61</v>
      </c>
    </row>
    <row r="23" spans="1:3" ht="15" customHeight="1" x14ac:dyDescent="0.35">
      <c r="A23" s="5" t="s">
        <v>62</v>
      </c>
      <c r="B23" s="20">
        <v>0.7</v>
      </c>
      <c r="C23" s="21" t="s">
        <v>63</v>
      </c>
    </row>
    <row r="24" spans="1:3" ht="15" customHeight="1" x14ac:dyDescent="0.35">
      <c r="A24" s="5" t="s">
        <v>64</v>
      </c>
      <c r="B24" s="20">
        <v>0.9</v>
      </c>
      <c r="C24" s="21" t="s">
        <v>65</v>
      </c>
    </row>
    <row r="25" spans="1:3" ht="15" customHeight="1" x14ac:dyDescent="0.35">
      <c r="A25" s="5" t="s">
        <v>66</v>
      </c>
      <c r="B25" s="25">
        <f>B21*B22*B23*B24</f>
        <v>0.28350000000000003</v>
      </c>
      <c r="C25" s="21" t="s">
        <v>67</v>
      </c>
    </row>
    <row r="27" spans="1:3" ht="15" customHeight="1" x14ac:dyDescent="0.35">
      <c r="A27" s="7" t="s">
        <v>68</v>
      </c>
      <c r="B27" s="8"/>
      <c r="C27" s="8"/>
    </row>
    <row r="28" spans="1:3" ht="15" customHeight="1" x14ac:dyDescent="0.35">
      <c r="A28" s="5" t="s">
        <v>69</v>
      </c>
      <c r="B28" s="4">
        <v>300000</v>
      </c>
      <c r="C28" s="21" t="s">
        <v>190</v>
      </c>
    </row>
    <row r="29" spans="1:3" ht="15" customHeight="1" x14ac:dyDescent="0.35">
      <c r="A29" s="5" t="s">
        <v>70</v>
      </c>
      <c r="B29" s="22">
        <v>40000</v>
      </c>
      <c r="C29" s="21" t="s">
        <v>71</v>
      </c>
    </row>
    <row r="30" spans="1:3" ht="15" customHeight="1" x14ac:dyDescent="0.35">
      <c r="A30" s="5" t="s">
        <v>72</v>
      </c>
      <c r="B30" s="20">
        <v>0.15</v>
      </c>
      <c r="C30" s="21" t="s">
        <v>191</v>
      </c>
    </row>
    <row r="31" spans="1:3" ht="15" customHeight="1" x14ac:dyDescent="0.35">
      <c r="A31" s="5" t="s">
        <v>73</v>
      </c>
      <c r="B31" s="23">
        <f>B28*B29*B30/1000000</f>
        <v>1800</v>
      </c>
      <c r="C31" s="21" t="s">
        <v>74</v>
      </c>
    </row>
    <row r="32" spans="1:3" ht="15" customHeight="1" x14ac:dyDescent="0.35">
      <c r="A32" s="5" t="s">
        <v>75</v>
      </c>
      <c r="B32" s="26">
        <v>0.5</v>
      </c>
      <c r="C32" s="21" t="s">
        <v>76</v>
      </c>
    </row>
    <row r="33" spans="1:3" ht="15" customHeight="1" x14ac:dyDescent="0.35">
      <c r="A33" s="5" t="s">
        <v>77</v>
      </c>
      <c r="B33" s="23">
        <f>B31*(1+B32)</f>
        <v>2700</v>
      </c>
      <c r="C33" s="21" t="s">
        <v>78</v>
      </c>
    </row>
    <row r="34" spans="1:3" ht="15" customHeight="1" x14ac:dyDescent="0.35">
      <c r="A34" s="5" t="s">
        <v>79</v>
      </c>
      <c r="B34" s="20">
        <v>0.35</v>
      </c>
      <c r="C34" s="21" t="s">
        <v>80</v>
      </c>
    </row>
    <row r="35" spans="1:3" ht="15" customHeight="1" x14ac:dyDescent="0.35">
      <c r="A35" s="5" t="s">
        <v>53</v>
      </c>
      <c r="B35" s="23">
        <f>B33*B34</f>
        <v>944.99999999999989</v>
      </c>
      <c r="C35" s="21" t="s">
        <v>81</v>
      </c>
    </row>
    <row r="36" spans="1:3" ht="15" customHeight="1" x14ac:dyDescent="0.35">
      <c r="A36" s="5" t="s">
        <v>55</v>
      </c>
      <c r="B36" s="24">
        <v>0.65</v>
      </c>
      <c r="C36" s="21" t="s">
        <v>82</v>
      </c>
    </row>
    <row r="38" spans="1:3" ht="15" customHeight="1" x14ac:dyDescent="0.35">
      <c r="A38" s="7" t="s">
        <v>83</v>
      </c>
      <c r="B38" s="8"/>
      <c r="C38" s="8"/>
    </row>
    <row r="39" spans="1:3" ht="15" customHeight="1" x14ac:dyDescent="0.35">
      <c r="A39" s="5" t="s">
        <v>58</v>
      </c>
      <c r="B39" s="20">
        <v>0.8</v>
      </c>
      <c r="C39" s="21" t="s">
        <v>84</v>
      </c>
    </row>
    <row r="40" spans="1:3" ht="15" customHeight="1" x14ac:dyDescent="0.35">
      <c r="A40" s="5" t="s">
        <v>60</v>
      </c>
      <c r="B40" s="20">
        <v>0.4</v>
      </c>
      <c r="C40" s="21" t="s">
        <v>85</v>
      </c>
    </row>
    <row r="41" spans="1:3" ht="15" customHeight="1" x14ac:dyDescent="0.35">
      <c r="A41" s="5" t="s">
        <v>62</v>
      </c>
      <c r="B41" s="20">
        <v>0.65</v>
      </c>
      <c r="C41" s="21" t="s">
        <v>86</v>
      </c>
    </row>
    <row r="42" spans="1:3" ht="15" customHeight="1" x14ac:dyDescent="0.35">
      <c r="A42" s="5" t="s">
        <v>64</v>
      </c>
      <c r="B42" s="20">
        <v>0.85</v>
      </c>
      <c r="C42" s="21" t="s">
        <v>87</v>
      </c>
    </row>
    <row r="43" spans="1:3" ht="15" customHeight="1" x14ac:dyDescent="0.35">
      <c r="A43" s="5" t="s">
        <v>66</v>
      </c>
      <c r="B43" s="25">
        <f>B39*B40*B41*B42</f>
        <v>0.17680000000000004</v>
      </c>
      <c r="C43" s="21" t="s">
        <v>67</v>
      </c>
    </row>
    <row r="45" spans="1:3" ht="15" customHeight="1" x14ac:dyDescent="0.35">
      <c r="A45" s="7" t="s">
        <v>88</v>
      </c>
      <c r="B45" s="27"/>
      <c r="C45" s="27"/>
    </row>
    <row r="46" spans="1:3" ht="15" customHeight="1" x14ac:dyDescent="0.35">
      <c r="A46" s="28" t="s">
        <v>89</v>
      </c>
      <c r="B46" s="29"/>
      <c r="C46" s="30"/>
    </row>
    <row r="47" spans="1:3" ht="15" customHeight="1" x14ac:dyDescent="0.35">
      <c r="A47" s="5" t="s">
        <v>90</v>
      </c>
      <c r="B47" s="31">
        <f>B7-B8</f>
        <v>10</v>
      </c>
      <c r="C47" s="1" t="s">
        <v>91</v>
      </c>
    </row>
    <row r="48" spans="1:3" ht="15" customHeight="1" x14ac:dyDescent="0.35">
      <c r="A48" s="5" t="s">
        <v>92</v>
      </c>
      <c r="B48" s="23">
        <f>B15</f>
        <v>600</v>
      </c>
      <c r="C48" s="1" t="s">
        <v>93</v>
      </c>
    </row>
    <row r="49" spans="1:3" ht="15" customHeight="1" x14ac:dyDescent="0.35">
      <c r="A49" s="5" t="s">
        <v>94</v>
      </c>
      <c r="B49" s="23">
        <f>B17</f>
        <v>210</v>
      </c>
      <c r="C49" s="1" t="s">
        <v>95</v>
      </c>
    </row>
    <row r="50" spans="1:3" ht="15" customHeight="1" x14ac:dyDescent="0.35">
      <c r="A50" s="5" t="s">
        <v>96</v>
      </c>
      <c r="B50" s="23">
        <f>B17*B18</f>
        <v>126</v>
      </c>
      <c r="C50" s="1" t="s">
        <v>97</v>
      </c>
    </row>
    <row r="51" spans="1:3" ht="15" customHeight="1" x14ac:dyDescent="0.35">
      <c r="A51" s="5" t="s">
        <v>98</v>
      </c>
      <c r="B51" s="23">
        <f>B50*((1-(1+B5)^(-B47))/B5)</f>
        <v>683.70667797006286</v>
      </c>
      <c r="C51" s="1" t="s">
        <v>99</v>
      </c>
    </row>
    <row r="52" spans="1:3" ht="15" customHeight="1" x14ac:dyDescent="0.35">
      <c r="A52" s="5" t="s">
        <v>100</v>
      </c>
      <c r="B52" s="23">
        <f>B51/(1+B5)^(B8-B10)</f>
        <v>371.08859277742692</v>
      </c>
      <c r="C52" s="1" t="s">
        <v>101</v>
      </c>
    </row>
    <row r="53" spans="1:3" ht="15" customHeight="1" x14ac:dyDescent="0.35">
      <c r="A53" s="5" t="s">
        <v>102</v>
      </c>
      <c r="B53" s="32">
        <f>B25</f>
        <v>0.28350000000000003</v>
      </c>
      <c r="C53" s="30"/>
    </row>
    <row r="54" spans="1:3" ht="15" customHeight="1" x14ac:dyDescent="0.35">
      <c r="A54" s="33" t="s">
        <v>103</v>
      </c>
      <c r="B54" s="34">
        <f>B52*B53</f>
        <v>105.20361605240055</v>
      </c>
      <c r="C54" s="30"/>
    </row>
    <row r="55" spans="1:3" ht="15" customHeight="1" x14ac:dyDescent="0.35">
      <c r="A55" s="5"/>
      <c r="B55" s="35"/>
      <c r="C55" s="30"/>
    </row>
    <row r="56" spans="1:3" ht="15" customHeight="1" x14ac:dyDescent="0.35">
      <c r="A56" s="28" t="s">
        <v>104</v>
      </c>
      <c r="B56" s="35"/>
      <c r="C56" s="30"/>
    </row>
    <row r="57" spans="1:3" ht="15" customHeight="1" x14ac:dyDescent="0.35">
      <c r="A57" s="5" t="s">
        <v>90</v>
      </c>
      <c r="B57" s="31">
        <f>B7-B9</f>
        <v>9</v>
      </c>
      <c r="C57" s="1" t="s">
        <v>105</v>
      </c>
    </row>
    <row r="58" spans="1:3" ht="15" customHeight="1" x14ac:dyDescent="0.35">
      <c r="A58" s="5" t="s">
        <v>92</v>
      </c>
      <c r="B58" s="23">
        <f>B33</f>
        <v>2700</v>
      </c>
      <c r="C58" s="1" t="s">
        <v>106</v>
      </c>
    </row>
    <row r="59" spans="1:3" ht="15" customHeight="1" x14ac:dyDescent="0.35">
      <c r="A59" s="5" t="s">
        <v>94</v>
      </c>
      <c r="B59" s="23">
        <f>B35</f>
        <v>944.99999999999989</v>
      </c>
      <c r="C59" s="1" t="s">
        <v>95</v>
      </c>
    </row>
    <row r="60" spans="1:3" ht="15" customHeight="1" x14ac:dyDescent="0.35">
      <c r="A60" s="5" t="s">
        <v>96</v>
      </c>
      <c r="B60" s="23">
        <f>B35*B36</f>
        <v>614.25</v>
      </c>
      <c r="C60" s="1" t="s">
        <v>107</v>
      </c>
    </row>
    <row r="61" spans="1:3" ht="15" customHeight="1" x14ac:dyDescent="0.35">
      <c r="A61" s="5" t="s">
        <v>98</v>
      </c>
      <c r="B61" s="23">
        <f>B60*((1-(1+B5)^(-B57))/B5)</f>
        <v>3152.1191622675842</v>
      </c>
      <c r="C61" s="1" t="s">
        <v>108</v>
      </c>
    </row>
    <row r="62" spans="1:3" ht="15" customHeight="1" x14ac:dyDescent="0.35">
      <c r="A62" s="5" t="s">
        <v>100</v>
      </c>
      <c r="B62" s="23">
        <f>B61/(1+B5)^(B9-B10)</f>
        <v>1514.0212343141504</v>
      </c>
      <c r="C62" s="1" t="s">
        <v>109</v>
      </c>
    </row>
    <row r="63" spans="1:3" ht="15" customHeight="1" x14ac:dyDescent="0.35">
      <c r="A63" s="5" t="s">
        <v>102</v>
      </c>
      <c r="B63" s="32">
        <f>B43</f>
        <v>0.17680000000000004</v>
      </c>
      <c r="C63" s="30"/>
    </row>
    <row r="64" spans="1:3" ht="15" customHeight="1" x14ac:dyDescent="0.35">
      <c r="A64" s="33" t="s">
        <v>110</v>
      </c>
      <c r="B64" s="34">
        <f>B62*B63</f>
        <v>267.67895422674184</v>
      </c>
      <c r="C64" s="30"/>
    </row>
    <row r="65" spans="1:3" ht="15" customHeight="1" x14ac:dyDescent="0.35">
      <c r="A65" s="5"/>
      <c r="B65" s="35"/>
      <c r="C65" s="30"/>
    </row>
    <row r="66" spans="1:3" ht="15" customHeight="1" x14ac:dyDescent="0.35">
      <c r="A66" s="28" t="s">
        <v>111</v>
      </c>
      <c r="B66" s="35"/>
      <c r="C66" s="30"/>
    </row>
    <row r="67" spans="1:3" ht="15" customHeight="1" x14ac:dyDescent="0.35">
      <c r="A67" s="5" t="s">
        <v>112</v>
      </c>
      <c r="B67" s="22">
        <v>-25</v>
      </c>
      <c r="C67" s="87" t="s">
        <v>184</v>
      </c>
    </row>
    <row r="68" spans="1:3" ht="15" customHeight="1" x14ac:dyDescent="0.35">
      <c r="A68" s="5" t="s">
        <v>113</v>
      </c>
      <c r="B68" s="36">
        <f>-55*B21*B22</f>
        <v>-24.75</v>
      </c>
      <c r="C68" s="1" t="s">
        <v>192</v>
      </c>
    </row>
    <row r="69" spans="1:3" ht="15" customHeight="1" x14ac:dyDescent="0.35">
      <c r="A69" s="5" t="s">
        <v>114</v>
      </c>
      <c r="B69" s="22">
        <v>-12</v>
      </c>
      <c r="C69" s="1" t="s">
        <v>115</v>
      </c>
    </row>
    <row r="70" spans="1:3" ht="15" customHeight="1" x14ac:dyDescent="0.35">
      <c r="A70" s="5" t="s">
        <v>116</v>
      </c>
      <c r="B70" s="36">
        <f>-40*B39*B40</f>
        <v>-12.8</v>
      </c>
      <c r="C70" s="1" t="s">
        <v>193</v>
      </c>
    </row>
    <row r="71" spans="1:3" ht="15" customHeight="1" x14ac:dyDescent="0.35">
      <c r="A71" s="5" t="s">
        <v>117</v>
      </c>
      <c r="B71" s="22">
        <v>-42</v>
      </c>
      <c r="C71" s="87" t="s">
        <v>185</v>
      </c>
    </row>
    <row r="72" spans="1:3" ht="15" customHeight="1" x14ac:dyDescent="0.35">
      <c r="A72" s="5" t="s">
        <v>118</v>
      </c>
      <c r="B72" s="36">
        <f>(B67+B68+B69+B70+B71)/(1+B5)^2.5</f>
        <v>-85.86499898982558</v>
      </c>
      <c r="C72" s="1" t="s">
        <v>119</v>
      </c>
    </row>
    <row r="73" spans="1:3" ht="15" customHeight="1" x14ac:dyDescent="0.35">
      <c r="A73" s="5"/>
      <c r="B73" s="35"/>
      <c r="C73" s="30"/>
    </row>
    <row r="74" spans="1:3" ht="15" customHeight="1" x14ac:dyDescent="0.35">
      <c r="A74" s="11" t="s">
        <v>120</v>
      </c>
      <c r="B74" s="37">
        <f>B54+B64</f>
        <v>372.88257027914239</v>
      </c>
      <c r="C74" s="30"/>
    </row>
    <row r="75" spans="1:3" ht="15" customHeight="1" x14ac:dyDescent="0.35">
      <c r="A75" s="11" t="s">
        <v>121</v>
      </c>
      <c r="B75" s="37">
        <f>B72</f>
        <v>-85.86499898982558</v>
      </c>
      <c r="C75" s="30"/>
    </row>
    <row r="76" spans="1:3" ht="17.25" customHeight="1" x14ac:dyDescent="0.35">
      <c r="A76" s="11" t="s">
        <v>122</v>
      </c>
      <c r="B76" s="37">
        <f>B74+B75</f>
        <v>287.01757128931683</v>
      </c>
      <c r="C76" s="1" t="s">
        <v>123</v>
      </c>
    </row>
    <row r="77" spans="1:3" ht="15" customHeight="1" x14ac:dyDescent="0.35">
      <c r="A77" s="5"/>
      <c r="B77" s="30"/>
      <c r="C77" s="30"/>
    </row>
    <row r="78" spans="1:3" ht="15" customHeight="1" x14ac:dyDescent="0.35">
      <c r="A78" s="28" t="s">
        <v>124</v>
      </c>
      <c r="B78" s="38"/>
      <c r="C78" s="30"/>
    </row>
    <row r="79" spans="1:3" ht="15" customHeight="1" x14ac:dyDescent="0.35">
      <c r="A79" s="83" t="s">
        <v>177</v>
      </c>
      <c r="B79" s="36">
        <f>MAX(0,B76)*0.25</f>
        <v>71.754392822329208</v>
      </c>
      <c r="C79" s="1" t="s">
        <v>125</v>
      </c>
    </row>
    <row r="80" spans="1:3" ht="17.25" customHeight="1" x14ac:dyDescent="0.35">
      <c r="A80" s="5" t="s">
        <v>126</v>
      </c>
      <c r="B80" s="22">
        <v>50</v>
      </c>
      <c r="C80" s="87" t="s">
        <v>179</v>
      </c>
    </row>
    <row r="81" spans="1:3" ht="15" customHeight="1" x14ac:dyDescent="0.35">
      <c r="A81" s="5"/>
      <c r="B81" s="38"/>
      <c r="C81" s="30"/>
    </row>
    <row r="82" spans="1:3" ht="15" customHeight="1" x14ac:dyDescent="0.35">
      <c r="A82" s="28" t="s">
        <v>127</v>
      </c>
      <c r="B82" s="38"/>
      <c r="C82" s="30"/>
    </row>
    <row r="83" spans="1:3" ht="15" customHeight="1" x14ac:dyDescent="0.35">
      <c r="A83" s="5" t="s">
        <v>128</v>
      </c>
      <c r="B83" s="22">
        <v>205.5</v>
      </c>
      <c r="C83" s="87" t="s">
        <v>181</v>
      </c>
    </row>
    <row r="84" spans="1:3" ht="15" customHeight="1" x14ac:dyDescent="0.35">
      <c r="A84" s="5" t="s">
        <v>129</v>
      </c>
      <c r="B84" s="22">
        <v>-5</v>
      </c>
      <c r="C84" s="30"/>
    </row>
    <row r="85" spans="1:3" ht="15" customHeight="1" x14ac:dyDescent="0.35">
      <c r="A85" s="33" t="s">
        <v>130</v>
      </c>
      <c r="B85" s="39">
        <f>B83+B84</f>
        <v>200.5</v>
      </c>
      <c r="C85" s="40" t="s">
        <v>131</v>
      </c>
    </row>
    <row r="86" spans="1:3" ht="15" customHeight="1" x14ac:dyDescent="0.35">
      <c r="A86" s="5"/>
      <c r="B86" s="30"/>
      <c r="C86" s="30"/>
    </row>
    <row r="87" spans="1:3" ht="15" customHeight="1" x14ac:dyDescent="0.35">
      <c r="A87" s="16" t="s">
        <v>132</v>
      </c>
      <c r="B87" s="41">
        <f>B76+B79+B80+B85</f>
        <v>609.27196411164607</v>
      </c>
      <c r="C87" s="42" t="s">
        <v>133</v>
      </c>
    </row>
    <row r="88" spans="1:3" ht="15" customHeight="1" x14ac:dyDescent="0.35">
      <c r="A88" s="30"/>
      <c r="B88" s="38"/>
      <c r="C88" s="30"/>
    </row>
    <row r="89" spans="1:3" ht="15" customHeight="1" x14ac:dyDescent="0.35">
      <c r="A89" s="7" t="s">
        <v>134</v>
      </c>
      <c r="B89" s="43"/>
      <c r="C89" s="27"/>
    </row>
    <row r="90" spans="1:3" ht="15" customHeight="1" x14ac:dyDescent="0.35">
      <c r="A90" s="5" t="s">
        <v>135</v>
      </c>
      <c r="B90" s="44">
        <f>'Diluted Shares'!B24</f>
        <v>205086074</v>
      </c>
      <c r="C90" s="30"/>
    </row>
    <row r="91" spans="1:3" ht="15" customHeight="1" x14ac:dyDescent="0.4">
      <c r="A91" s="45" t="s">
        <v>136</v>
      </c>
      <c r="B91" s="46">
        <f>B87*1000000/B90</f>
        <v>2.9708109976869812</v>
      </c>
      <c r="C91" s="30"/>
    </row>
    <row r="92" spans="1:3" ht="15" customHeight="1" x14ac:dyDescent="0.35">
      <c r="A92" s="30"/>
      <c r="B92" s="30"/>
      <c r="C92" s="30"/>
    </row>
    <row r="93" spans="1:3" ht="15" customHeight="1" x14ac:dyDescent="0.35">
      <c r="A93" s="5" t="s">
        <v>137</v>
      </c>
      <c r="B93" s="47">
        <v>1.74</v>
      </c>
      <c r="C93" s="30"/>
    </row>
    <row r="94" spans="1:3" ht="15" customHeight="1" x14ac:dyDescent="0.35">
      <c r="A94" s="5" t="s">
        <v>138</v>
      </c>
      <c r="B94" s="25">
        <f>(B91-B93)/B93</f>
        <v>0.70736264234883983</v>
      </c>
      <c r="C94" s="30"/>
    </row>
    <row r="95" spans="1:3" ht="15" customHeight="1" x14ac:dyDescent="0.35">
      <c r="A95" s="30"/>
      <c r="B95" s="30"/>
      <c r="C95" s="30"/>
    </row>
    <row r="96" spans="1:3" ht="15" customHeight="1" x14ac:dyDescent="0.35">
      <c r="A96" s="5" t="s">
        <v>139</v>
      </c>
      <c r="B96" s="10">
        <v>12</v>
      </c>
      <c r="C96" s="1" t="s">
        <v>140</v>
      </c>
    </row>
    <row r="97" spans="1:3" ht="15" customHeight="1" x14ac:dyDescent="0.35">
      <c r="A97" s="30"/>
      <c r="B97" s="30"/>
      <c r="C97" s="30"/>
    </row>
    <row r="98" spans="1:3" ht="15" customHeight="1" x14ac:dyDescent="0.35">
      <c r="A98" s="7" t="s">
        <v>141</v>
      </c>
      <c r="B98" s="48"/>
      <c r="C98" s="48"/>
    </row>
    <row r="99" spans="1:3" ht="15" customHeight="1" x14ac:dyDescent="0.35">
      <c r="A99" s="5" t="s">
        <v>142</v>
      </c>
      <c r="B99" s="49">
        <f>B85*1000000/B90</f>
        <v>0.97763829639646815</v>
      </c>
      <c r="C99" s="1" t="s">
        <v>143</v>
      </c>
    </row>
    <row r="100" spans="1:3" ht="15" customHeight="1" x14ac:dyDescent="0.35">
      <c r="A100" s="5" t="s">
        <v>144</v>
      </c>
      <c r="B100" s="49">
        <f>B76*1000000/B90</f>
        <v>1.3994981019009454</v>
      </c>
      <c r="C100" s="1" t="s">
        <v>145</v>
      </c>
    </row>
    <row r="101" spans="1:3" ht="15" customHeight="1" x14ac:dyDescent="0.35">
      <c r="A101" s="5" t="s">
        <v>146</v>
      </c>
      <c r="B101" s="49">
        <f>(B79+B80)*1000000/B90</f>
        <v>0.59367459938956757</v>
      </c>
      <c r="C101" s="1" t="s">
        <v>147</v>
      </c>
    </row>
    <row r="102" spans="1:3" ht="15" customHeight="1" x14ac:dyDescent="0.35">
      <c r="A102" s="50" t="s">
        <v>148</v>
      </c>
      <c r="B102" s="51">
        <f>B91</f>
        <v>2.9708109976869812</v>
      </c>
      <c r="C102" s="1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tabSelected="1" zoomScaleNormal="100" workbookViewId="0">
      <selection activeCell="A32" sqref="A32"/>
    </sheetView>
  </sheetViews>
  <sheetFormatPr defaultColWidth="8.6328125" defaultRowHeight="14.5" x14ac:dyDescent="0.35"/>
  <cols>
    <col min="1" max="1" width="22" customWidth="1"/>
    <col min="2" max="7" width="14" customWidth="1"/>
  </cols>
  <sheetData>
    <row r="1" spans="1:10" ht="15" customHeight="1" x14ac:dyDescent="0.35">
      <c r="A1" s="52" t="s">
        <v>149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</row>
    <row r="3" spans="1:10" x14ac:dyDescent="0.35">
      <c r="A3" s="54" t="s">
        <v>150</v>
      </c>
      <c r="B3" s="55"/>
      <c r="C3" s="55"/>
      <c r="D3" s="55"/>
      <c r="E3" s="53"/>
      <c r="F3" s="53"/>
      <c r="G3" s="53"/>
      <c r="H3" s="53"/>
      <c r="I3" s="53"/>
      <c r="J3" s="53"/>
    </row>
    <row r="4" spans="1:10" ht="15" customHeight="1" x14ac:dyDescent="0.35">
      <c r="A4" s="56" t="s">
        <v>151</v>
      </c>
      <c r="B4" s="77">
        <f>'rNPV Model'!B5</f>
        <v>0.13</v>
      </c>
      <c r="C4" s="80" t="s">
        <v>152</v>
      </c>
      <c r="D4" s="77">
        <f>'rNPV Model'!B14</f>
        <v>0.06</v>
      </c>
      <c r="E4" s="58"/>
      <c r="F4" s="58"/>
      <c r="G4" s="53"/>
      <c r="H4" s="53"/>
      <c r="I4" s="53"/>
      <c r="J4" s="53"/>
    </row>
    <row r="5" spans="1:10" ht="15" customHeight="1" x14ac:dyDescent="0.35">
      <c r="A5" s="57" t="s">
        <v>153</v>
      </c>
      <c r="B5" s="77">
        <f>'rNPV Model'!B25</f>
        <v>0.28350000000000003</v>
      </c>
      <c r="C5" s="59" t="s">
        <v>154</v>
      </c>
      <c r="D5" s="77">
        <f>'rNPV Model'!B43</f>
        <v>0.17680000000000004</v>
      </c>
      <c r="E5" s="60"/>
      <c r="F5" s="60"/>
      <c r="G5" s="53"/>
      <c r="H5" s="53"/>
      <c r="I5" s="53"/>
      <c r="J5" s="53"/>
    </row>
    <row r="6" spans="1:10" ht="15" customHeight="1" x14ac:dyDescent="0.35">
      <c r="A6" s="57" t="s">
        <v>135</v>
      </c>
      <c r="B6" s="84">
        <f>'rNPV Model'!B90</f>
        <v>205086074</v>
      </c>
      <c r="C6" s="59" t="s">
        <v>155</v>
      </c>
      <c r="D6" s="85">
        <f>'rNPV Model'!B85</f>
        <v>200.5</v>
      </c>
      <c r="E6" s="60"/>
      <c r="F6" s="60"/>
      <c r="G6" s="53"/>
      <c r="H6" s="53"/>
      <c r="I6" s="53"/>
      <c r="J6" s="53"/>
    </row>
    <row r="7" spans="1:10" ht="15" customHeight="1" x14ac:dyDescent="0.35">
      <c r="A7" s="80" t="s">
        <v>156</v>
      </c>
      <c r="B7" s="85">
        <f>'rNPV Model'!B80</f>
        <v>50</v>
      </c>
      <c r="C7" s="79" t="s">
        <v>176</v>
      </c>
      <c r="D7" s="76">
        <f>0.25</f>
        <v>0.25</v>
      </c>
      <c r="E7" s="60"/>
      <c r="F7" s="60"/>
      <c r="G7" s="53"/>
      <c r="H7" s="53"/>
      <c r="I7" s="53"/>
      <c r="J7" s="53"/>
    </row>
    <row r="8" spans="1:10" ht="15" customHeight="1" x14ac:dyDescent="0.35">
      <c r="A8" s="78" t="s">
        <v>178</v>
      </c>
      <c r="B8" s="61">
        <f>'rNPV Model'!B91</f>
        <v>2.9708109976869812</v>
      </c>
      <c r="C8" s="59" t="s">
        <v>157</v>
      </c>
      <c r="D8" s="86">
        <f>'rNPV Model'!B93</f>
        <v>1.74</v>
      </c>
      <c r="E8" s="60"/>
      <c r="F8" s="60"/>
      <c r="G8" s="53"/>
      <c r="H8" s="53"/>
      <c r="I8" s="53"/>
      <c r="J8" s="53"/>
    </row>
    <row r="9" spans="1:10" ht="15" customHeight="1" x14ac:dyDescent="0.35">
      <c r="A9" s="58"/>
      <c r="B9" s="60"/>
      <c r="C9" s="60"/>
      <c r="D9" s="60"/>
      <c r="E9" s="60"/>
      <c r="F9" s="60"/>
      <c r="G9" s="53"/>
      <c r="H9" s="53"/>
      <c r="I9" s="53"/>
      <c r="J9" s="53"/>
    </row>
    <row r="10" spans="1:10" x14ac:dyDescent="0.35">
      <c r="A10" s="54" t="s">
        <v>158</v>
      </c>
      <c r="B10" s="55"/>
      <c r="C10" s="55"/>
      <c r="D10" s="55"/>
      <c r="E10" s="55"/>
      <c r="F10" s="55"/>
      <c r="G10" s="53"/>
      <c r="H10" s="53"/>
      <c r="I10" s="53"/>
      <c r="J10" s="53"/>
    </row>
    <row r="11" spans="1:10" ht="15" customHeight="1" x14ac:dyDescent="0.35">
      <c r="A11" s="62" t="s">
        <v>159</v>
      </c>
      <c r="B11" s="63">
        <v>0.02</v>
      </c>
      <c r="C11" s="63">
        <v>0.04</v>
      </c>
      <c r="D11" s="63">
        <v>0.06</v>
      </c>
      <c r="E11" s="63">
        <v>0.08</v>
      </c>
      <c r="F11" s="63">
        <v>0.1</v>
      </c>
      <c r="G11" s="53"/>
      <c r="H11" s="53"/>
      <c r="I11" s="53"/>
      <c r="J11" s="53"/>
    </row>
    <row r="12" spans="1:10" ht="15" customHeight="1" x14ac:dyDescent="0.35">
      <c r="A12" s="57">
        <v>0.11</v>
      </c>
      <c r="B12" s="64">
        <f>(((((('rNPV Model'!B13*B$11*'rNPV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Model'!B71)/(1+$A12)^2.5))+MAX(0,((((('rNPV Model'!B13*B$11*'rNPV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Model'!B71)/(1+$A12)^2.5)))*$D$7+'rNPV Model'!B80+'rNPV Model'!B85)*1000000/'rNPV Model'!B90</f>
        <v>2.8873222717278568</v>
      </c>
      <c r="C12" s="64">
        <f>(((((('rNPV Model'!B13*C$11*'rNPV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Model'!B71)/(1+$A12)^2.5))+MAX(0,((((('rNPV Model'!B13*C$11*'rNPV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Model'!B71)/(1+$A12)^2.5)))*$D$7+'rNPV Model'!B80+'rNPV Model'!B85)*1000000/'rNPV Model'!B90</f>
        <v>3.1409635687666482</v>
      </c>
      <c r="D12" s="64">
        <f>(((((('rNPV Model'!B13*D$11*'rNPV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Model'!B71)/(1+$A12)^2.5))+MAX(0,((((('rNPV Model'!B13*D$11*'rNPV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Model'!B71)/(1+$A12)^2.5)))*$D$7+'rNPV Model'!B80+'rNPV Model'!B85)*1000000/'rNPV Model'!B90</f>
        <v>3.3946048658054391</v>
      </c>
      <c r="E12" s="64">
        <f>(((((('rNPV Model'!B13*E$11*'rNPV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Model'!B71)/(1+$A12)^2.5))+MAX(0,((((('rNPV Model'!B13*E$11*'rNPV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Model'!B71)/(1+$A12)^2.5)))*$D$7+'rNPV Model'!B80+'rNPV Model'!B85)*1000000/'rNPV Model'!B90</f>
        <v>3.6482461628442318</v>
      </c>
      <c r="F12" s="64">
        <f>(((((('rNPV Model'!B13*F$11*'rNPV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Model'!B71)/(1+$A12)^2.5))+MAX(0,((((('rNPV Model'!B13*F$11*'rNPV Model'!B16*'rNPV Model'!B18)*((1-(1+$A12)^(-'rNPV Model'!B47))/$A12))/(1+$A12)^('rNPV Model'!B8-'rNPV Model'!B10))*'rNPV Model'!B25)+((('rNPV Model'!B60*((1-(1+$A12)^(-'rNPV Model'!B57))/$A12))/(1+$A12)^('rNPV Model'!B9-'rNPV Model'!B10))*'rNPV Model'!B43)+(('rNPV Model'!B67+'rNPV Model'!B68+'rNPV Model'!B69+'rNPV Model'!B70+'rNPV Model'!B71)/(1+$A12)^2.5)))*$D$7+'rNPV Model'!B80+'rNPV Model'!B85)*1000000/'rNPV Model'!B90</f>
        <v>3.9018874598830227</v>
      </c>
      <c r="G12" s="53"/>
      <c r="H12" s="53"/>
      <c r="I12" s="53"/>
      <c r="J12" s="53"/>
    </row>
    <row r="13" spans="1:10" ht="15" customHeight="1" x14ac:dyDescent="0.35">
      <c r="A13" s="57">
        <v>0.12</v>
      </c>
      <c r="B13" s="65">
        <f>(((((('rNPV Model'!B13*B$11*'rNPV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Model'!B71)/(1+$A13)^2.5))+MAX(0,((((('rNPV Model'!B13*B$11*'rNPV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Model'!B71)/(1+$A13)^2.5)))*$D$7+'rNPV Model'!B80+'rNPV Model'!B85)*1000000/'rNPV Model'!B90</f>
        <v>2.7058141433111724</v>
      </c>
      <c r="C13" s="65">
        <f>(((((('rNPV Model'!B13*C$11*'rNPV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Model'!B71)/(1+$A13)^2.5))+MAX(0,((((('rNPV Model'!B13*C$11*'rNPV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Model'!B71)/(1+$A13)^2.5)))*$D$7+'rNPV Model'!B80+'rNPV Model'!B85)*1000000/'rNPV Model'!B90</f>
        <v>2.938490188118692</v>
      </c>
      <c r="D13" s="65">
        <f>(((((('rNPV Model'!B13*D$11*'rNPV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Model'!B71)/(1+$A13)^2.5))+MAX(0,((((('rNPV Model'!B13*D$11*'rNPV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Model'!B71)/(1+$A13)^2.5)))*$D$7+'rNPV Model'!B80+'rNPV Model'!B85)*1000000/'rNPV Model'!B90</f>
        <v>3.1711662329262116</v>
      </c>
      <c r="E13" s="65">
        <f>(((((('rNPV Model'!B13*E$11*'rNPV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Model'!B71)/(1+$A13)^2.5))+MAX(0,((((('rNPV Model'!B13*E$11*'rNPV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Model'!B71)/(1+$A13)^2.5)))*$D$7+'rNPV Model'!B80+'rNPV Model'!B85)*1000000/'rNPV Model'!B90</f>
        <v>3.4038422777337307</v>
      </c>
      <c r="F13" s="64">
        <f>(((((('rNPV Model'!B13*F$11*'rNPV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Model'!B71)/(1+$A13)^2.5))+MAX(0,((((('rNPV Model'!B13*F$11*'rNPV Model'!B16*'rNPV Model'!B18)*((1-(1+$A13)^(-'rNPV Model'!B47))/$A13))/(1+$A13)^('rNPV Model'!B8-'rNPV Model'!B10))*'rNPV Model'!B25)+((('rNPV Model'!B60*((1-(1+$A13)^(-'rNPV Model'!B57))/$A13))/(1+$A13)^('rNPV Model'!B9-'rNPV Model'!B10))*'rNPV Model'!B43)+(('rNPV Model'!B67+'rNPV Model'!B68+'rNPV Model'!B69+'rNPV Model'!B70+'rNPV Model'!B71)/(1+$A13)^2.5)))*$D$7+'rNPV Model'!B80+'rNPV Model'!B85)*1000000/'rNPV Model'!B90</f>
        <v>3.6365183225412512</v>
      </c>
      <c r="G13" s="53"/>
      <c r="H13" s="53"/>
      <c r="I13" s="53"/>
      <c r="J13" s="53"/>
    </row>
    <row r="14" spans="1:10" ht="15" customHeight="1" x14ac:dyDescent="0.35">
      <c r="A14" s="57">
        <v>0.13</v>
      </c>
      <c r="B14" s="65">
        <f>(((((('rNPV Model'!B13*B$11*'rNPV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Model'!B71)/(1+$A14)^2.5))+MAX(0,((((('rNPV Model'!B13*B$11*'rNPV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Model'!B71)/(1+$A14)^2.5)))*$D$7+'rNPV Model'!B80+'rNPV Model'!B85)*1000000/'rNPV Model'!B90</f>
        <v>2.5433335081931445</v>
      </c>
      <c r="C14" s="82">
        <f>(((((('rNPV Model'!B13*C$11*'rNPV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Model'!B71)/(1+$A14)^2.5))+MAX(0,((((('rNPV Model'!B13*C$11*'rNPV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Model'!B71)/(1+$A14)^2.5)))*$D$7+'rNPV Model'!B80+'rNPV Model'!B85)*1000000/'rNPV Model'!B90</f>
        <v>2.7570722529400626</v>
      </c>
      <c r="D14" s="81">
        <f>(((((('rNPV Model'!B13*D$11*'rNPV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Model'!B71)/(1+$A14)^2.5))+MAX(0,((((('rNPV Model'!B13*D$11*'rNPV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Model'!B71)/(1+$A14)^2.5)))*$D$7+'rNPV Model'!B80+'rNPV Model'!B85)*1000000/'rNPV Model'!B90</f>
        <v>2.9708109976869812</v>
      </c>
      <c r="E14" s="65">
        <f>(((((('rNPV Model'!B13*E$11*'rNPV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Model'!B71)/(1+$A14)^2.5))+MAX(0,((((('rNPV Model'!B13*E$11*'rNPV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Model'!B71)/(1+$A14)^2.5)))*$D$7+'rNPV Model'!B80+'rNPV Model'!B85)*1000000/'rNPV Model'!B90</f>
        <v>3.1845497424338984</v>
      </c>
      <c r="F14" s="66">
        <f>(((((('rNPV Model'!B13*F$11*'rNPV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Model'!B71)/(1+$A14)^2.5))+MAX(0,((((('rNPV Model'!B13*F$11*'rNPV Model'!B16*'rNPV Model'!B18)*((1-(1+$A14)^(-'rNPV Model'!B47))/$A14))/(1+$A14)^('rNPV Model'!B8-'rNPV Model'!B10))*'rNPV Model'!B25)+((('rNPV Model'!B60*((1-(1+$A14)^(-'rNPV Model'!B57))/$A14))/(1+$A14)^('rNPV Model'!B9-'rNPV Model'!B10))*'rNPV Model'!B43)+(('rNPV Model'!B67+'rNPV Model'!B68+'rNPV Model'!B69+'rNPV Model'!B70+'rNPV Model'!B71)/(1+$A14)^2.5)))*$D$7+'rNPV Model'!B80+'rNPV Model'!B85)*1000000/'rNPV Model'!B90</f>
        <v>3.3982884871808166</v>
      </c>
      <c r="G14" s="53"/>
      <c r="H14" s="53"/>
      <c r="I14" s="53"/>
      <c r="J14" s="53"/>
    </row>
    <row r="15" spans="1:10" ht="15" customHeight="1" x14ac:dyDescent="0.35">
      <c r="A15" s="57">
        <v>0.14000000000000001</v>
      </c>
      <c r="B15" s="65">
        <f>(((((('rNPV Model'!B13*B$11*'rNPV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Model'!B71)/(1+$A15)^2.5))+MAX(0,((((('rNPV Model'!B13*B$11*'rNPV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Model'!B71)/(1+$A15)^2.5)))*$D$7+'rNPV Model'!B80+'rNPV Model'!B85)*1000000/'rNPV Model'!B90</f>
        <v>2.3977221219115066</v>
      </c>
      <c r="C15" s="65">
        <f>(((((('rNPV Model'!B13*C$11*'rNPV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Model'!B71)/(1+$A15)^2.5))+MAX(0,((((('rNPV Model'!B13*C$11*'rNPV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Model'!B71)/(1+$A15)^2.5)))*$D$7+'rNPV Model'!B80+'rNPV Model'!B85)*1000000/'rNPV Model'!B90</f>
        <v>2.5943292005558396</v>
      </c>
      <c r="D15" s="65">
        <f>(((((('rNPV Model'!B13*D$11*'rNPV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Model'!B71)/(1+$A15)^2.5))+MAX(0,((((('rNPV Model'!B13*D$11*'rNPV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Model'!B71)/(1+$A15)^2.5)))*$D$7+'rNPV Model'!B80+'rNPV Model'!B85)*1000000/'rNPV Model'!B90</f>
        <v>2.7909362792001722</v>
      </c>
      <c r="E15" s="65">
        <f>(((((('rNPV Model'!B13*E$11*'rNPV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Model'!B71)/(1+$A15)^2.5))+MAX(0,((((('rNPV Model'!B13*E$11*'rNPV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Model'!B71)/(1+$A15)^2.5)))*$D$7+'rNPV Model'!B80+'rNPV Model'!B85)*1000000/'rNPV Model'!B90</f>
        <v>2.9875433578445039</v>
      </c>
      <c r="F15" s="64">
        <f>(((((('rNPV Model'!B13*F$11*'rNPV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Model'!B71)/(1+$A15)^2.5))+MAX(0,((((('rNPV Model'!B13*F$11*'rNPV Model'!B16*'rNPV Model'!B18)*((1-(1+$A15)^(-'rNPV Model'!B47))/$A15))/(1+$A15)^('rNPV Model'!B8-'rNPV Model'!B10))*'rNPV Model'!B25)+((('rNPV Model'!B60*((1-(1+$A15)^(-'rNPV Model'!B57))/$A15))/(1+$A15)^('rNPV Model'!B9-'rNPV Model'!B10))*'rNPV Model'!B43)+(('rNPV Model'!B67+'rNPV Model'!B68+'rNPV Model'!B69+'rNPV Model'!B70+'rNPV Model'!B71)/(1+$A15)^2.5)))*$D$7+'rNPV Model'!B80+'rNPV Model'!B85)*1000000/'rNPV Model'!B90</f>
        <v>3.1841504364888369</v>
      </c>
      <c r="G15" s="53"/>
      <c r="H15" s="53"/>
      <c r="I15" s="53"/>
      <c r="J15" s="53"/>
    </row>
    <row r="16" spans="1:10" ht="15" customHeight="1" x14ac:dyDescent="0.35">
      <c r="A16" s="53"/>
      <c r="B16" s="67"/>
      <c r="C16" s="67"/>
      <c r="D16" s="67"/>
      <c r="E16" s="67"/>
      <c r="F16" s="68"/>
      <c r="G16" s="53"/>
      <c r="H16" s="53"/>
      <c r="I16" s="53"/>
      <c r="J16" s="53"/>
    </row>
    <row r="17" spans="1:11" ht="15" customHeight="1" x14ac:dyDescent="0.35">
      <c r="A17" s="53"/>
      <c r="B17" s="67"/>
      <c r="C17" s="67"/>
      <c r="D17" s="67"/>
      <c r="E17" s="67"/>
      <c r="F17" s="68"/>
      <c r="G17" s="53"/>
      <c r="H17" s="53"/>
      <c r="I17" s="53"/>
      <c r="J17" s="53"/>
    </row>
    <row r="18" spans="1:11" ht="15" customHeight="1" x14ac:dyDescent="0.35">
      <c r="A18" s="92" t="s">
        <v>160</v>
      </c>
      <c r="B18" s="69"/>
      <c r="C18" s="70"/>
      <c r="D18" s="69"/>
      <c r="E18" s="69"/>
      <c r="F18" s="71"/>
      <c r="G18" s="55"/>
      <c r="H18" s="55"/>
      <c r="I18" s="53"/>
      <c r="J18" s="53"/>
      <c r="K18" s="53"/>
    </row>
    <row r="19" spans="1:11" x14ac:dyDescent="0.35">
      <c r="A19" s="72" t="s">
        <v>161</v>
      </c>
      <c r="B19" s="72" t="s">
        <v>162</v>
      </c>
      <c r="C19" s="72" t="s">
        <v>153</v>
      </c>
      <c r="D19" s="89" t="s">
        <v>154</v>
      </c>
      <c r="E19" s="89" t="s">
        <v>182</v>
      </c>
      <c r="F19" s="72" t="s">
        <v>151</v>
      </c>
      <c r="G19" s="72" t="s">
        <v>163</v>
      </c>
      <c r="H19" s="72" t="s">
        <v>164</v>
      </c>
      <c r="I19" s="53"/>
      <c r="J19" s="53"/>
      <c r="K19" s="53"/>
    </row>
    <row r="20" spans="1:11" x14ac:dyDescent="0.35">
      <c r="A20" s="56" t="s">
        <v>165</v>
      </c>
      <c r="B20" s="76">
        <v>0.02</v>
      </c>
      <c r="C20" s="77">
        <v>0.161</v>
      </c>
      <c r="D20" s="77">
        <v>0</v>
      </c>
      <c r="E20" s="90">
        <v>20</v>
      </c>
      <c r="F20" s="76">
        <v>0.14000000000000001</v>
      </c>
      <c r="G20" s="73">
        <f>((('rNPV Model'!B13*B20*'rNPV Model'!B16*'rNPV Model'!B18*((1-(1+F20)^(-'rNPV Model'!B47))/F20)/(1+F20)^('rNPV Model'!B8-'rNPV Model'!B10)*C20)+('rNPV Model'!B60*((1-(1+F20)^(-'rNPV Model'!B57))/F20)/(1+F20)^('rNPV Model'!B9-'rNPV Model'!B10)*D20)+(('rNPV Model'!B67+'rNPV Model'!B68+'rNPV Model'!B69+'rNPV Model'!B70+'rNPV Model'!B71)/(1+F20)^2.5))+MAX(0,(('rNPV Model'!B13*B20*'rNPV Model'!B16*'rNPV Model'!B18*((1-(1+F20)^(-'rNPV Model'!B47))/F20)/(1+F20)^('rNPV Model'!B8-'rNPV Model'!B10)*C20)+('rNPV Model'!B60*((1-(1+F20)^(-'rNPV Model'!B57))/F20)/(1+F20)^('rNPV Model'!B9-'rNPV Model'!B10)*D20)+(('rNPV Model'!B67+'rNPV Model'!B68+'rNPV Model'!B69+'rNPV Model'!B70+'rNPV Model'!B71)/(1+F20)^2.5)))*$D$7+E20+'rNPV Model'!B85)*1000000/'rNPV Model'!B90</f>
        <v>0.75492440175785147</v>
      </c>
      <c r="H20" s="1" t="s">
        <v>194</v>
      </c>
      <c r="I20" s="53"/>
      <c r="J20" s="53"/>
      <c r="K20" s="53"/>
    </row>
    <row r="21" spans="1:11" x14ac:dyDescent="0.35">
      <c r="A21" s="56" t="s">
        <v>166</v>
      </c>
      <c r="B21" s="76">
        <f>'rNPV Model'!B14</f>
        <v>0.06</v>
      </c>
      <c r="C21" s="77">
        <f>'rNPV Model'!B25</f>
        <v>0.28350000000000003</v>
      </c>
      <c r="D21" s="77">
        <f>'rNPV Model'!B43</f>
        <v>0.17680000000000004</v>
      </c>
      <c r="E21" s="90">
        <v>50</v>
      </c>
      <c r="F21" s="76">
        <f>'rNPV Model'!B5</f>
        <v>0.13</v>
      </c>
      <c r="G21" s="74">
        <f>((('rNPV Model'!B13*B21*'rNPV Model'!B16*'rNPV Model'!B18*((1-(1+F21)^(-'rNPV Model'!B47))/F21)/(1+F21)^('rNPV Model'!B8-'rNPV Model'!B10)*C21)+('rNPV Model'!B60*((1-(1+F21)^(-'rNPV Model'!B57))/F21)/(1+F21)^('rNPV Model'!B9-'rNPV Model'!B10)*D21)+(('rNPV Model'!B67+'rNPV Model'!B68+'rNPV Model'!B69+'rNPV Model'!B70+'rNPV Model'!B71)/(1+F21)^2.5))+MAX(0,(('rNPV Model'!B13*B21*'rNPV Model'!B16*'rNPV Model'!B18*((1-(1+F21)^(-'rNPV Model'!B47))/F21)/(1+F21)^('rNPV Model'!B8-'rNPV Model'!B10)*C21)+('rNPV Model'!B60*((1-(1+F21)^(-'rNPV Model'!B57))/F21)/(1+F21)^('rNPV Model'!B9-'rNPV Model'!B10)*D21)+(('rNPV Model'!B67+'rNPV Model'!B68+'rNPV Model'!B69+'rNPV Model'!B70+'rNPV Model'!B71)/(1+F21)^2.5)))*$D$7+E21+'rNPV Model'!B85)*1000000/'rNPV Model'!B90</f>
        <v>2.9708109976869812</v>
      </c>
      <c r="H21" s="1"/>
      <c r="I21" s="53"/>
      <c r="J21" s="53"/>
      <c r="K21" s="53"/>
    </row>
    <row r="22" spans="1:11" x14ac:dyDescent="0.35">
      <c r="A22" s="56" t="s">
        <v>167</v>
      </c>
      <c r="B22" s="76">
        <v>0.06</v>
      </c>
      <c r="C22" s="77">
        <v>0.32</v>
      </c>
      <c r="D22" s="77">
        <v>0.221</v>
      </c>
      <c r="E22" s="90">
        <v>75</v>
      </c>
      <c r="F22" s="76">
        <v>0.13</v>
      </c>
      <c r="G22" s="73">
        <f>((('rNPV Model'!B13*B22*'rNPV Model'!B16*'rNPV Model'!B18*((1-(1+F22)^(-'rNPV Model'!B47))/F22)/(1+F22)^('rNPV Model'!B8-'rNPV Model'!B10)*C22)+('rNPV Model'!B60*((1-(1+F22)^(-'rNPV Model'!B57))/F22)/(1+F22)^('rNPV Model'!B9-'rNPV Model'!B10)*D22)+(('rNPV Model'!B67+'rNPV Model'!B68+'rNPV Model'!B69+'rNPV Model'!B70+'rNPV Model'!B71)/(1+F22)^2.5))+MAX(0,(('rNPV Model'!B13*B22*'rNPV Model'!B16*'rNPV Model'!B18*((1-(1+F22)^(-'rNPV Model'!B47))/F22)/(1+F22)^('rNPV Model'!B8-'rNPV Model'!B10)*C22)+('rNPV Model'!B60*((1-(1+F22)^(-'rNPV Model'!B57))/F22)/(1+F22)^('rNPV Model'!B9-'rNPV Model'!B10)*D22)+(('rNPV Model'!B67+'rNPV Model'!B68+'rNPV Model'!B69+'rNPV Model'!B70+'rNPV Model'!B71)/(1+F22)^2.5)))*$D$7+E22+'rNPV Model'!B85)*1000000/'rNPV Model'!B90</f>
        <v>3.5831421413477971</v>
      </c>
      <c r="H22" s="1" t="s">
        <v>188</v>
      </c>
      <c r="I22" s="53"/>
      <c r="J22" s="53"/>
      <c r="K22" s="53"/>
    </row>
    <row r="23" spans="1:11" x14ac:dyDescent="0.35">
      <c r="A23" s="56" t="s">
        <v>168</v>
      </c>
      <c r="B23" s="76">
        <v>7.0000000000000007E-2</v>
      </c>
      <c r="C23" s="77">
        <v>0.38</v>
      </c>
      <c r="D23" s="77">
        <v>0.3</v>
      </c>
      <c r="E23" s="90">
        <v>150</v>
      </c>
      <c r="F23" s="76">
        <v>0.12</v>
      </c>
      <c r="G23" s="73">
        <f>((('rNPV Model'!B13*B23*'rNPV Model'!B16*'rNPV Model'!B18*((1-(1+F23)^(-'rNPV Model'!B47))/F23)/(1+F23)^('rNPV Model'!B8-'rNPV Model'!B10)*C23)+('rNPV Model'!B60*((1-(1+F23)^(-'rNPV Model'!B57))/F23)/(1+F23)^('rNPV Model'!B9-'rNPV Model'!B10)*D23)+(('rNPV Model'!B67+'rNPV Model'!B68+'rNPV Model'!B69+'rNPV Model'!B70+'rNPV Model'!B71)/(1+F23)^2.5))+MAX(0,(('rNPV Model'!B13*B23*'rNPV Model'!B16*'rNPV Model'!B18*((1-(1+F23)^(-'rNPV Model'!B47))/F23)/(1+F23)^('rNPV Model'!B8-'rNPV Model'!B10)*C23)+('rNPV Model'!B60*((1-(1+F23)^(-'rNPV Model'!B57))/F23)/(1+F23)^('rNPV Model'!B9-'rNPV Model'!B10)*D23)+(('rNPV Model'!B67+'rNPV Model'!B68+'rNPV Model'!B69+'rNPV Model'!B70+'rNPV Model'!B71)/(1+F23)^2.5)))*$D$7+E23+'rNPV Model'!B85)*1000000/'rNPV Model'!B90</f>
        <v>5.2974103868888633</v>
      </c>
      <c r="H23" s="1" t="s">
        <v>189</v>
      </c>
      <c r="I23" s="53"/>
      <c r="J23" s="53"/>
      <c r="K23" s="53"/>
    </row>
    <row r="24" spans="1:11" x14ac:dyDescent="0.35">
      <c r="A24" s="56" t="s">
        <v>169</v>
      </c>
      <c r="B24" s="76">
        <v>0.1</v>
      </c>
      <c r="C24" s="77">
        <v>0.38</v>
      </c>
      <c r="D24" s="77">
        <v>0.3</v>
      </c>
      <c r="E24" s="90">
        <v>250</v>
      </c>
      <c r="F24" s="76">
        <v>0.1</v>
      </c>
      <c r="G24" s="73">
        <f>((('rNPV Model'!B13*B24*'rNPV Model'!B16*'rNPV Model'!B18*((1-(1+F24)^(-'rNPV Model'!B47))/F24)/(1+F24)^('rNPV Model'!B8-'rNPV Model'!B10)*C24)+('rNPV Model'!B60*((1-(1+F24)^(-'rNPV Model'!B57))/F24)/(1+F24)^('rNPV Model'!B9-'rNPV Model'!B10)*D24)+(('rNPV Model'!B67+'rNPV Model'!B68+'rNPV Model'!B69+'rNPV Model'!B70+'rNPV Model'!B71)/(1+F24)^2.5))+MAX(0,(('rNPV Model'!B13*B24*'rNPV Model'!B16*'rNPV Model'!B18*((1-(1+F24)^(-'rNPV Model'!B47))/F24)/(1+F24)^('rNPV Model'!B8-'rNPV Model'!B10)*C24)+('rNPV Model'!B60*((1-(1+F24)^(-'rNPV Model'!B57))/F24)/(1+F24)^('rNPV Model'!B9-'rNPV Model'!B10)*D24)+(('rNPV Model'!B67+'rNPV Model'!B68+'rNPV Model'!B69+'rNPV Model'!B70+'rNPV Model'!B71)/(1+F24)^2.5)))*$D$7+E24+'rNPV Model'!B85)*1000000/'rNPV Model'!B90</f>
        <v>7.1437400052351867</v>
      </c>
      <c r="H24" s="1" t="s">
        <v>170</v>
      </c>
      <c r="I24" s="53"/>
      <c r="J24" s="53"/>
      <c r="K24" s="53"/>
    </row>
    <row r="25" spans="1:11" x14ac:dyDescent="0.35">
      <c r="A25" s="53"/>
      <c r="B25" s="53"/>
      <c r="C25" s="53"/>
      <c r="D25" s="53"/>
      <c r="E25" s="53"/>
      <c r="F25" s="53"/>
      <c r="G25" s="53"/>
      <c r="H25" s="53"/>
      <c r="I25" s="53"/>
      <c r="J25" s="53"/>
    </row>
    <row r="26" spans="1:11" x14ac:dyDescent="0.35">
      <c r="A26" s="75" t="s">
        <v>171</v>
      </c>
      <c r="B26" s="53"/>
      <c r="C26" s="53"/>
      <c r="D26" s="53"/>
      <c r="E26" s="53"/>
      <c r="F26" s="53"/>
      <c r="G26" s="53"/>
      <c r="H26" s="53"/>
      <c r="I26" s="53"/>
      <c r="J26" s="53"/>
    </row>
    <row r="27" spans="1:11" x14ac:dyDescent="0.35">
      <c r="A27" s="1" t="s">
        <v>172</v>
      </c>
      <c r="B27" s="53"/>
      <c r="C27" s="53"/>
      <c r="D27" s="53"/>
      <c r="E27" s="53"/>
      <c r="F27" s="53"/>
      <c r="G27" s="53"/>
      <c r="H27" s="53"/>
      <c r="I27" s="53"/>
      <c r="J27" s="53"/>
    </row>
    <row r="28" spans="1:11" x14ac:dyDescent="0.35">
      <c r="A28" s="1" t="s">
        <v>173</v>
      </c>
      <c r="B28" s="53"/>
      <c r="C28" s="53"/>
      <c r="D28" s="53"/>
      <c r="E28" s="53"/>
      <c r="F28" s="53"/>
      <c r="G28" s="53"/>
      <c r="H28" s="53"/>
      <c r="I28" s="53"/>
      <c r="J28" s="53"/>
    </row>
    <row r="29" spans="1:11" x14ac:dyDescent="0.35">
      <c r="A29" s="1" t="s">
        <v>174</v>
      </c>
      <c r="B29" s="53"/>
      <c r="C29" s="53"/>
      <c r="D29" s="53"/>
      <c r="E29" s="53"/>
      <c r="F29" s="53"/>
      <c r="G29" s="53"/>
      <c r="H29" s="53"/>
      <c r="I29" s="53"/>
      <c r="J29" s="53"/>
    </row>
    <row r="30" spans="1:11" x14ac:dyDescent="0.35">
      <c r="A30" s="87" t="s">
        <v>180</v>
      </c>
      <c r="B30" s="53"/>
      <c r="C30" s="53"/>
      <c r="D30" s="53"/>
      <c r="E30" s="53"/>
      <c r="F30" s="53"/>
      <c r="G30" s="53"/>
      <c r="H30" s="53"/>
      <c r="I30" s="53"/>
      <c r="J30" s="53"/>
    </row>
    <row r="31" spans="1:11" x14ac:dyDescent="0.35">
      <c r="A31" s="1" t="s">
        <v>175</v>
      </c>
      <c r="B31" s="53"/>
      <c r="C31" s="53"/>
      <c r="D31" s="53"/>
      <c r="E31" s="53"/>
      <c r="F31" s="53"/>
      <c r="G31" s="53"/>
      <c r="H31" s="53"/>
      <c r="I31" s="53"/>
      <c r="J31" s="53"/>
    </row>
    <row r="32" spans="1:11" x14ac:dyDescent="0.35">
      <c r="A32" s="1"/>
      <c r="B32" s="53"/>
      <c r="C32" s="53"/>
      <c r="D32" s="53"/>
      <c r="E32" s="53"/>
      <c r="F32" s="53"/>
      <c r="G32" s="53"/>
      <c r="H32" s="53"/>
      <c r="I32" s="53"/>
      <c r="J32" s="53"/>
    </row>
    <row r="33" spans="1:10" x14ac:dyDescent="0.35">
      <c r="A33" s="88"/>
      <c r="B33" s="53"/>
      <c r="C33" s="53"/>
      <c r="D33" s="53"/>
      <c r="E33" s="53"/>
      <c r="F33" s="53"/>
      <c r="G33" s="53"/>
      <c r="H33" s="53"/>
      <c r="I33" s="53"/>
      <c r="J33" s="53"/>
    </row>
    <row r="34" spans="1:10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5" spans="1:10" x14ac:dyDescent="0.35">
      <c r="A35" s="53"/>
      <c r="B35" s="53"/>
      <c r="C35" s="53"/>
      <c r="D35" s="53"/>
      <c r="E35" s="53"/>
      <c r="F35" s="53"/>
      <c r="G35" s="53"/>
      <c r="H35" s="53"/>
      <c r="I35" s="53"/>
      <c r="J35" s="53"/>
    </row>
    <row r="36" spans="1:10" x14ac:dyDescent="0.35">
      <c r="A36" s="53"/>
      <c r="B36" s="53"/>
      <c r="C36" s="53"/>
      <c r="D36" s="53"/>
      <c r="E36" s="53"/>
      <c r="F36" s="53"/>
      <c r="G36" s="53"/>
      <c r="H36" s="53"/>
      <c r="I36" s="53"/>
      <c r="J36" s="53"/>
    </row>
    <row r="37" spans="1:10" x14ac:dyDescent="0.35">
      <c r="A37" s="53"/>
      <c r="B37" s="53"/>
      <c r="C37" s="53"/>
      <c r="D37" s="53"/>
      <c r="E37" s="53"/>
      <c r="F37" s="53"/>
      <c r="G37" s="53"/>
      <c r="H37" s="53"/>
      <c r="I37" s="53"/>
      <c r="J37" s="53"/>
    </row>
    <row r="38" spans="1:10" x14ac:dyDescent="0.35">
      <c r="A38" s="53"/>
      <c r="B38" s="53"/>
      <c r="C38" s="53"/>
      <c r="D38" s="53"/>
      <c r="E38" s="53"/>
      <c r="F38" s="53"/>
      <c r="G38" s="53"/>
      <c r="H38" s="53"/>
      <c r="I38" s="53"/>
      <c r="J38" s="53"/>
    </row>
    <row r="39" spans="1:10" x14ac:dyDescent="0.35">
      <c r="A39" s="53"/>
      <c r="B39" s="53"/>
      <c r="C39" s="53"/>
      <c r="D39" s="53"/>
      <c r="E39" s="53"/>
      <c r="F39" s="53"/>
      <c r="G39" s="53"/>
      <c r="H39" s="53"/>
      <c r="I39" s="53"/>
      <c r="J39" s="53"/>
    </row>
    <row r="40" spans="1:10" x14ac:dyDescent="0.35">
      <c r="A40" s="53"/>
      <c r="B40" s="53"/>
      <c r="C40" s="53"/>
      <c r="D40" s="53"/>
      <c r="E40" s="53"/>
      <c r="F40" s="53"/>
      <c r="G40" s="53"/>
      <c r="H40" s="53"/>
      <c r="I40" s="53"/>
      <c r="J40" s="53"/>
    </row>
    <row r="41" spans="1:10" x14ac:dyDescent="0.35">
      <c r="A41" s="53"/>
      <c r="B41" s="53"/>
      <c r="C41" s="53"/>
      <c r="D41" s="53"/>
      <c r="E41" s="53"/>
      <c r="F41" s="53"/>
      <c r="G41" s="53"/>
      <c r="H41" s="53"/>
      <c r="I41" s="53"/>
      <c r="J41" s="53"/>
    </row>
    <row r="42" spans="1:10" x14ac:dyDescent="0.35">
      <c r="A42" s="53"/>
      <c r="B42" s="53"/>
      <c r="C42" s="53"/>
      <c r="D42" s="53"/>
      <c r="E42" s="53"/>
      <c r="F42" s="53"/>
      <c r="G42" s="53"/>
      <c r="H42" s="53"/>
      <c r="I42" s="53"/>
      <c r="J42" s="53"/>
    </row>
    <row r="43" spans="1:10" x14ac:dyDescent="0.35">
      <c r="A43" s="53"/>
      <c r="B43" s="53"/>
      <c r="C43" s="53"/>
      <c r="D43" s="53"/>
      <c r="E43" s="53"/>
      <c r="F43" s="53"/>
      <c r="G43" s="53"/>
      <c r="H43" s="53"/>
      <c r="I43" s="53"/>
      <c r="J43" s="53"/>
    </row>
    <row r="44" spans="1:10" x14ac:dyDescent="0.35">
      <c r="A44" s="53"/>
      <c r="B44" s="53"/>
      <c r="C44" s="53"/>
      <c r="D44" s="53"/>
      <c r="E44" s="53"/>
      <c r="F44" s="53"/>
      <c r="G44" s="53"/>
      <c r="H44" s="53"/>
      <c r="I44" s="53"/>
      <c r="J44" s="53"/>
    </row>
    <row r="45" spans="1:10" x14ac:dyDescent="0.35">
      <c r="A45" s="53"/>
      <c r="B45" s="53"/>
      <c r="C45" s="53"/>
      <c r="D45" s="53"/>
      <c r="E45" s="53"/>
      <c r="F45" s="53"/>
      <c r="G45" s="53"/>
      <c r="H45" s="53"/>
      <c r="I45" s="53"/>
      <c r="J45" s="53"/>
    </row>
    <row r="46" spans="1:10" x14ac:dyDescent="0.35">
      <c r="A46" s="53"/>
      <c r="B46" s="53"/>
      <c r="C46" s="53"/>
      <c r="D46" s="53"/>
      <c r="E46" s="53"/>
      <c r="F46" s="53"/>
      <c r="G46" s="53"/>
      <c r="H46" s="53"/>
      <c r="I46" s="53"/>
      <c r="J46" s="53"/>
    </row>
    <row r="47" spans="1:10" x14ac:dyDescent="0.35">
      <c r="A47" s="53"/>
      <c r="B47" s="53"/>
      <c r="C47" s="53"/>
      <c r="D47" s="53"/>
      <c r="E47" s="53"/>
      <c r="F47" s="53"/>
      <c r="G47" s="53"/>
      <c r="H47" s="53"/>
      <c r="I47" s="53"/>
      <c r="J47" s="53"/>
    </row>
    <row r="48" spans="1:10" x14ac:dyDescent="0.35">
      <c r="A48" s="53"/>
      <c r="B48" s="53"/>
      <c r="C48" s="53"/>
      <c r="D48" s="53"/>
      <c r="E48" s="53"/>
      <c r="F48" s="53"/>
      <c r="G48" s="53"/>
      <c r="H48" s="53"/>
      <c r="I48" s="53"/>
      <c r="J48" s="53"/>
    </row>
    <row r="49" spans="1:10" x14ac:dyDescent="0.35">
      <c r="A49" s="53"/>
      <c r="B49" s="53"/>
      <c r="C49" s="53"/>
      <c r="D49" s="53"/>
      <c r="E49" s="53"/>
      <c r="F49" s="53"/>
      <c r="G49" s="53"/>
      <c r="H49" s="53"/>
      <c r="I49" s="53"/>
      <c r="J49" s="5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Diluted Shares</vt:lpstr>
      <vt:lpstr>rNPV Model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Hovasse</cp:lastModifiedBy>
  <cp:revision>0</cp:revision>
  <dcterms:created xsi:type="dcterms:W3CDTF">2026-02-08T23:02:23Z</dcterms:created>
  <dcterms:modified xsi:type="dcterms:W3CDTF">2026-02-13T06:25:53Z</dcterms:modified>
  <dc:language>en-US</dc:language>
</cp:coreProperties>
</file>